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PPLETREE INTERIORS\Claude\Segregation\"/>
    </mc:Choice>
  </mc:AlternateContent>
  <xr:revisionPtr revIDLastSave="0" documentId="13_ncr:1_{37DD9DFC-8416-4D45-A3D5-FCBC06AD160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01 Settings" sheetId="1" r:id="rId1"/>
    <sheet name="02 Import DayBook" sheetId="2" r:id="rId2"/>
    <sheet name="03 Import Ledger" sheetId="3" r:id="rId3"/>
    <sheet name="04 Import TrialBalance" sheetId="4" r:id="rId4"/>
    <sheet name="05 Import Stock" sheetId="5" r:id="rId5"/>
    <sheet name="06 Import Receivables" sheetId="6" r:id="rId6"/>
    <sheet name="07 Import Payables" sheetId="7" r:id="rId7"/>
    <sheet name="08 Import BankBook" sheetId="8" r:id="rId8"/>
    <sheet name="09 Import CashBook" sheetId="9" r:id="rId9"/>
    <sheet name="10 Chart of Accounts" sheetId="10" r:id="rId10"/>
    <sheet name="11 Transaction Master" sheetId="11" r:id="rId11"/>
    <sheet name="12 Intercompany Ledger" sheetId="12" r:id="rId12"/>
    <sheet name="13 Old Company TB" sheetId="13" r:id="rId13"/>
    <sheet name="14 New Company TB" sheetId="14" r:id="rId14"/>
    <sheet name="15 Old Company P&amp;L" sheetId="15" r:id="rId15"/>
    <sheet name="16 New Company P&amp;L" sheetId="16" r:id="rId16"/>
    <sheet name="17 Old Company Balance Sheet" sheetId="17" r:id="rId17"/>
    <sheet name="18 New Company Balance Sheet" sheetId="18" r:id="rId18"/>
    <sheet name="19 Bank Reconstruction" sheetId="19" r:id="rId19"/>
    <sheet name="20 Cash Reconstruction" sheetId="20" r:id="rId20"/>
    <sheet name="21 Stock Transfer" sheetId="21" r:id="rId21"/>
    <sheet name="22 Project Cost Recovery" sheetId="22" r:id="rId22"/>
    <sheet name="23 Receivable Split" sheetId="23" r:id="rId23"/>
    <sheet name="24 Payable Split" sheetId="24" r:id="rId24"/>
    <sheet name="25 GST Reconciliation" sheetId="25" r:id="rId25"/>
    <sheet name="26 Adjustment Journals" sheetId="26" r:id="rId26"/>
    <sheet name="27 Reconciliation Dashboard" sheetId="27" r:id="rId27"/>
  </sheets>
  <definedNames>
    <definedName name="COA_CLASS">'10 Chart of Accounts'!$D$5:$D$300</definedName>
    <definedName name="COA_COMPANY">'10 Chart of Accounts'!$E$5:$E$300</definedName>
    <definedName name="COA_LEDGER">'10 Chart of Accounts'!$A$5:$A$300</definedName>
    <definedName name="COA_OVERHEAD">'10 Chart of Accounts'!$F$5:$F$300</definedName>
    <definedName name="OLD_PROJECTS">'01 Settings'!$A$21:$A$300</definedName>
    <definedName name="SEG_DATE">'01 Settings'!$B$14</definedName>
    <definedName name="TXN_ADJ">'11 Transaction Master'!$T$6:$T$100005</definedName>
    <definedName name="TXN_AMOUNT">'11 Transaction Master'!$I$6:$I$100005</definedName>
    <definedName name="TXN_BAL">'11 Transaction Master'!$X$6:$X$100005</definedName>
    <definedName name="TXN_BANK">'11 Transaction Master'!$O$6:$O$100005</definedName>
    <definedName name="TXN_CASH">'11 Transaction Master'!$P$6:$P$100005</definedName>
    <definedName name="TXN_CREDIT">'11 Transaction Master'!$H$6:$H$100005</definedName>
    <definedName name="TXN_CUSTOMER">'11 Transaction Master'!$L$6:$L$100005</definedName>
    <definedName name="TXN_DATE">'11 Transaction Master'!$A$6:$A$100005</definedName>
    <definedName name="TXN_DEBIT">'11 Transaction Master'!$G$6:$G$100005</definedName>
    <definedName name="TXN_FLAG">'11 Transaction Master'!$S$6:$S$100005</definedName>
    <definedName name="TXN_GST">'11 Transaction Master'!$J$6:$J$100005</definedName>
    <definedName name="TXN_LEDGER">'11 Transaction Master'!$D$6:$D$100005</definedName>
    <definedName name="TXN_NEWPROJ">'11 Transaction Master'!$R$6:$R$100005</definedName>
    <definedName name="TXN_OLDPROJ">'11 Transaction Master'!$Q$6:$Q$100005</definedName>
    <definedName name="TXN_PARTY">'11 Transaction Master'!$E$6:$E$100005</definedName>
    <definedName name="TXN_PAYMODE">'11 Transaction Master'!$N$6:$N$100005</definedName>
    <definedName name="TXN_PROJECT">'11 Transaction Master'!$K$6:$K$100005</definedName>
    <definedName name="TXN_RECOV">'11 Transaction Master'!$U$6:$U$100005</definedName>
    <definedName name="TXN_SUGFLAG">'11 Transaction Master'!$V$6:$V$100005</definedName>
    <definedName name="TXN_SUPPLIER">'11 Transaction Master'!$M$6:$M$100005</definedName>
    <definedName name="TXN_VNO">'11 Transaction Master'!$B$6:$B$100005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27" l="1"/>
  <c r="B22" i="27"/>
  <c r="B21" i="27"/>
  <c r="B19" i="27"/>
  <c r="B16" i="27"/>
  <c r="B9" i="27"/>
  <c r="B8" i="27"/>
  <c r="C7" i="25"/>
  <c r="B7" i="25"/>
  <c r="C6" i="25"/>
  <c r="C8" i="25" s="1"/>
  <c r="B17" i="27" s="1"/>
  <c r="B6" i="25"/>
  <c r="B8" i="25" s="1"/>
  <c r="B8" i="24"/>
  <c r="C7" i="24"/>
  <c r="D7" i="24" s="1"/>
  <c r="B7" i="24"/>
  <c r="C6" i="24"/>
  <c r="B6" i="24"/>
  <c r="C8" i="23"/>
  <c r="B8" i="23"/>
  <c r="D8" i="23" s="1"/>
  <c r="D7" i="23"/>
  <c r="C7" i="23"/>
  <c r="B7" i="23"/>
  <c r="C6" i="23"/>
  <c r="C9" i="23" s="1"/>
  <c r="B6" i="23"/>
  <c r="D6" i="23" s="1"/>
  <c r="G8" i="22"/>
  <c r="F8" i="22"/>
  <c r="H8" i="22" s="1"/>
  <c r="E8" i="22"/>
  <c r="D8" i="22"/>
  <c r="C8" i="22"/>
  <c r="B8" i="22"/>
  <c r="G7" i="22"/>
  <c r="E7" i="22"/>
  <c r="F7" i="22" s="1"/>
  <c r="H7" i="22" s="1"/>
  <c r="D7" i="22"/>
  <c r="C7" i="22"/>
  <c r="B7" i="22"/>
  <c r="G6" i="22"/>
  <c r="E6" i="22"/>
  <c r="D6" i="22"/>
  <c r="F6" i="22" s="1"/>
  <c r="H6" i="22" s="1"/>
  <c r="C6" i="22"/>
  <c r="B6" i="22"/>
  <c r="E7" i="21"/>
  <c r="E6" i="21"/>
  <c r="E8" i="21" s="1"/>
  <c r="C9" i="20"/>
  <c r="C12" i="20" s="1"/>
  <c r="B13" i="27" s="1"/>
  <c r="C8" i="20"/>
  <c r="B8" i="20"/>
  <c r="C7" i="20"/>
  <c r="B7" i="20"/>
  <c r="B9" i="20" s="1"/>
  <c r="B12" i="20" s="1"/>
  <c r="B12" i="27" s="1"/>
  <c r="C9" i="19"/>
  <c r="C12" i="19" s="1"/>
  <c r="B11" i="27" s="1"/>
  <c r="C8" i="19"/>
  <c r="B8" i="19"/>
  <c r="C7" i="19"/>
  <c r="B7" i="19"/>
  <c r="B9" i="19" s="1"/>
  <c r="B12" i="19" s="1"/>
  <c r="B10" i="27" s="1"/>
  <c r="B19" i="18"/>
  <c r="B20" i="18" s="1"/>
  <c r="B18" i="18"/>
  <c r="B17" i="18"/>
  <c r="B16" i="18"/>
  <c r="B15" i="18"/>
  <c r="B10" i="18"/>
  <c r="B9" i="18"/>
  <c r="B8" i="18"/>
  <c r="B7" i="18"/>
  <c r="B6" i="18"/>
  <c r="B19" i="17"/>
  <c r="B18" i="17"/>
  <c r="B17" i="17"/>
  <c r="B16" i="17"/>
  <c r="B15" i="17"/>
  <c r="B10" i="17"/>
  <c r="B9" i="17"/>
  <c r="B8" i="17"/>
  <c r="B7" i="17"/>
  <c r="B6" i="17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26" i="16" s="1"/>
  <c r="B6" i="16"/>
  <c r="B7" i="16" s="1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26" i="15" s="1"/>
  <c r="B7" i="15"/>
  <c r="B6" i="15"/>
  <c r="E35" i="14"/>
  <c r="D35" i="14"/>
  <c r="C35" i="14"/>
  <c r="B35" i="14"/>
  <c r="A35" i="14"/>
  <c r="D34" i="14"/>
  <c r="C34" i="14"/>
  <c r="B34" i="14"/>
  <c r="A34" i="14"/>
  <c r="E34" i="14" s="1"/>
  <c r="E33" i="14"/>
  <c r="D33" i="14"/>
  <c r="C33" i="14"/>
  <c r="B33" i="14"/>
  <c r="A33" i="14"/>
  <c r="C32" i="14"/>
  <c r="B32" i="14"/>
  <c r="A32" i="14"/>
  <c r="C31" i="14"/>
  <c r="B31" i="14"/>
  <c r="A31" i="14"/>
  <c r="E31" i="14" s="1"/>
  <c r="E30" i="14"/>
  <c r="D30" i="14"/>
  <c r="C30" i="14"/>
  <c r="B30" i="14"/>
  <c r="A30" i="14"/>
  <c r="C29" i="14"/>
  <c r="B29" i="14"/>
  <c r="A29" i="14"/>
  <c r="E28" i="14"/>
  <c r="C28" i="14"/>
  <c r="B28" i="14"/>
  <c r="A28" i="14"/>
  <c r="D28" i="14" s="1"/>
  <c r="E27" i="14"/>
  <c r="D27" i="14"/>
  <c r="C27" i="14"/>
  <c r="B27" i="14"/>
  <c r="A27" i="14"/>
  <c r="D26" i="14"/>
  <c r="C26" i="14"/>
  <c r="B26" i="14"/>
  <c r="A26" i="14"/>
  <c r="E26" i="14" s="1"/>
  <c r="E25" i="14"/>
  <c r="D25" i="14"/>
  <c r="C25" i="14"/>
  <c r="B25" i="14"/>
  <c r="A25" i="14"/>
  <c r="C24" i="14"/>
  <c r="B24" i="14"/>
  <c r="A24" i="14"/>
  <c r="C23" i="14"/>
  <c r="B23" i="14"/>
  <c r="A23" i="14"/>
  <c r="E23" i="14" s="1"/>
  <c r="E22" i="14"/>
  <c r="D22" i="14"/>
  <c r="C22" i="14"/>
  <c r="B22" i="14"/>
  <c r="A22" i="14"/>
  <c r="C21" i="14"/>
  <c r="B21" i="14"/>
  <c r="A21" i="14"/>
  <c r="E20" i="14"/>
  <c r="C20" i="14"/>
  <c r="B20" i="14"/>
  <c r="A20" i="14"/>
  <c r="D20" i="14" s="1"/>
  <c r="E19" i="14"/>
  <c r="D19" i="14"/>
  <c r="C19" i="14"/>
  <c r="B19" i="14"/>
  <c r="A19" i="14"/>
  <c r="D18" i="14"/>
  <c r="C18" i="14"/>
  <c r="B18" i="14"/>
  <c r="A18" i="14"/>
  <c r="E18" i="14" s="1"/>
  <c r="E17" i="14"/>
  <c r="D17" i="14"/>
  <c r="C17" i="14"/>
  <c r="B17" i="14"/>
  <c r="A17" i="14"/>
  <c r="C16" i="14"/>
  <c r="B16" i="14"/>
  <c r="A16" i="14"/>
  <c r="C15" i="14"/>
  <c r="B15" i="14"/>
  <c r="A15" i="14"/>
  <c r="E15" i="14" s="1"/>
  <c r="E14" i="14"/>
  <c r="D14" i="14"/>
  <c r="C14" i="14"/>
  <c r="B14" i="14"/>
  <c r="A14" i="14"/>
  <c r="C13" i="14"/>
  <c r="B13" i="14"/>
  <c r="A13" i="14"/>
  <c r="E12" i="14"/>
  <c r="C12" i="14"/>
  <c r="B12" i="14"/>
  <c r="A12" i="14"/>
  <c r="D12" i="14" s="1"/>
  <c r="E11" i="14"/>
  <c r="D11" i="14"/>
  <c r="C11" i="14"/>
  <c r="B11" i="14"/>
  <c r="A11" i="14"/>
  <c r="D10" i="14"/>
  <c r="C10" i="14"/>
  <c r="B10" i="14"/>
  <c r="A10" i="14"/>
  <c r="E10" i="14" s="1"/>
  <c r="E9" i="14"/>
  <c r="D9" i="14"/>
  <c r="C9" i="14"/>
  <c r="B9" i="14"/>
  <c r="A9" i="14"/>
  <c r="C8" i="14"/>
  <c r="B8" i="14"/>
  <c r="A8" i="14"/>
  <c r="C7" i="14"/>
  <c r="B7" i="14"/>
  <c r="A7" i="14"/>
  <c r="E7" i="14" s="1"/>
  <c r="E6" i="14"/>
  <c r="D6" i="14"/>
  <c r="C6" i="14"/>
  <c r="B6" i="14"/>
  <c r="A6" i="14"/>
  <c r="E35" i="13"/>
  <c r="D35" i="13"/>
  <c r="C35" i="13"/>
  <c r="B35" i="13"/>
  <c r="A35" i="13"/>
  <c r="C34" i="13"/>
  <c r="B34" i="13"/>
  <c r="A34" i="13"/>
  <c r="E33" i="13"/>
  <c r="C33" i="13"/>
  <c r="B33" i="13"/>
  <c r="A33" i="13"/>
  <c r="D33" i="13" s="1"/>
  <c r="E32" i="13"/>
  <c r="D32" i="13"/>
  <c r="C32" i="13"/>
  <c r="B32" i="13"/>
  <c r="A32" i="13"/>
  <c r="D31" i="13"/>
  <c r="C31" i="13"/>
  <c r="B31" i="13"/>
  <c r="A31" i="13"/>
  <c r="E31" i="13" s="1"/>
  <c r="E30" i="13"/>
  <c r="D30" i="13"/>
  <c r="C30" i="13"/>
  <c r="B30" i="13"/>
  <c r="A30" i="13"/>
  <c r="C29" i="13"/>
  <c r="B29" i="13"/>
  <c r="A29" i="13"/>
  <c r="C28" i="13"/>
  <c r="B28" i="13"/>
  <c r="A28" i="13"/>
  <c r="E28" i="13" s="1"/>
  <c r="E27" i="13"/>
  <c r="D27" i="13"/>
  <c r="C27" i="13"/>
  <c r="B27" i="13"/>
  <c r="A27" i="13"/>
  <c r="C26" i="13"/>
  <c r="B26" i="13"/>
  <c r="A26" i="13"/>
  <c r="E25" i="13"/>
  <c r="C25" i="13"/>
  <c r="B25" i="13"/>
  <c r="A25" i="13"/>
  <c r="D25" i="13" s="1"/>
  <c r="E24" i="13"/>
  <c r="D24" i="13"/>
  <c r="C24" i="13"/>
  <c r="B24" i="13"/>
  <c r="A24" i="13"/>
  <c r="D23" i="13"/>
  <c r="C23" i="13"/>
  <c r="B23" i="13"/>
  <c r="A23" i="13"/>
  <c r="E23" i="13" s="1"/>
  <c r="E22" i="13"/>
  <c r="D22" i="13"/>
  <c r="C22" i="13"/>
  <c r="B22" i="13"/>
  <c r="A22" i="13"/>
  <c r="C21" i="13"/>
  <c r="B21" i="13"/>
  <c r="A21" i="13"/>
  <c r="C20" i="13"/>
  <c r="B20" i="13"/>
  <c r="A20" i="13"/>
  <c r="E20" i="13" s="1"/>
  <c r="E19" i="13"/>
  <c r="D19" i="13"/>
  <c r="C19" i="13"/>
  <c r="B19" i="13"/>
  <c r="A19" i="13"/>
  <c r="C18" i="13"/>
  <c r="B18" i="13"/>
  <c r="A18" i="13"/>
  <c r="E17" i="13"/>
  <c r="C17" i="13"/>
  <c r="B17" i="13"/>
  <c r="A17" i="13"/>
  <c r="D17" i="13" s="1"/>
  <c r="E16" i="13"/>
  <c r="D16" i="13"/>
  <c r="C16" i="13"/>
  <c r="B16" i="13"/>
  <c r="A16" i="13"/>
  <c r="D15" i="13"/>
  <c r="C15" i="13"/>
  <c r="B15" i="13"/>
  <c r="A15" i="13"/>
  <c r="E15" i="13" s="1"/>
  <c r="E14" i="13"/>
  <c r="D14" i="13"/>
  <c r="C14" i="13"/>
  <c r="B14" i="13"/>
  <c r="A14" i="13"/>
  <c r="C13" i="13"/>
  <c r="B13" i="13"/>
  <c r="A13" i="13"/>
  <c r="C12" i="13"/>
  <c r="B12" i="13"/>
  <c r="A12" i="13"/>
  <c r="E12" i="13" s="1"/>
  <c r="E11" i="13"/>
  <c r="D11" i="13"/>
  <c r="C11" i="13"/>
  <c r="B11" i="13"/>
  <c r="A11" i="13"/>
  <c r="C10" i="13"/>
  <c r="B10" i="13"/>
  <c r="A10" i="13"/>
  <c r="E9" i="13"/>
  <c r="C9" i="13"/>
  <c r="B9" i="13"/>
  <c r="A9" i="13"/>
  <c r="D9" i="13" s="1"/>
  <c r="E8" i="13"/>
  <c r="D8" i="13"/>
  <c r="C8" i="13"/>
  <c r="B8" i="13"/>
  <c r="A8" i="13"/>
  <c r="D7" i="13"/>
  <c r="C7" i="13"/>
  <c r="B7" i="13"/>
  <c r="A7" i="13"/>
  <c r="E7" i="13" s="1"/>
  <c r="E6" i="13"/>
  <c r="D6" i="13"/>
  <c r="C6" i="13"/>
  <c r="B6" i="13"/>
  <c r="A6" i="13"/>
  <c r="B7" i="12"/>
  <c r="X505" i="11"/>
  <c r="V505" i="11"/>
  <c r="T505" i="11"/>
  <c r="R505" i="11"/>
  <c r="Q505" i="11"/>
  <c r="I505" i="11"/>
  <c r="X504" i="11"/>
  <c r="V504" i="11"/>
  <c r="T504" i="11"/>
  <c r="R504" i="11"/>
  <c r="Q504" i="11"/>
  <c r="I504" i="11"/>
  <c r="X503" i="11"/>
  <c r="V503" i="11"/>
  <c r="T503" i="11"/>
  <c r="R503" i="11"/>
  <c r="Q503" i="11"/>
  <c r="I503" i="11"/>
  <c r="X502" i="11"/>
  <c r="V502" i="11"/>
  <c r="T502" i="11"/>
  <c r="R502" i="11"/>
  <c r="Q502" i="11"/>
  <c r="I502" i="11"/>
  <c r="X501" i="11"/>
  <c r="V501" i="11"/>
  <c r="T501" i="11"/>
  <c r="R501" i="11"/>
  <c r="Q501" i="11"/>
  <c r="I501" i="11"/>
  <c r="X500" i="11"/>
  <c r="V500" i="11"/>
  <c r="T500" i="11"/>
  <c r="R500" i="11"/>
  <c r="Q500" i="11"/>
  <c r="I500" i="11"/>
  <c r="X499" i="11"/>
  <c r="V499" i="11"/>
  <c r="T499" i="11"/>
  <c r="R499" i="11"/>
  <c r="Q499" i="11"/>
  <c r="I499" i="11"/>
  <c r="X498" i="11"/>
  <c r="V498" i="11"/>
  <c r="T498" i="11"/>
  <c r="R498" i="11"/>
  <c r="Q498" i="11"/>
  <c r="I498" i="11"/>
  <c r="X497" i="11"/>
  <c r="V497" i="11"/>
  <c r="T497" i="11"/>
  <c r="R497" i="11"/>
  <c r="Q497" i="11"/>
  <c r="I497" i="11"/>
  <c r="X496" i="11"/>
  <c r="V496" i="11"/>
  <c r="T496" i="11"/>
  <c r="R496" i="11"/>
  <c r="Q496" i="11"/>
  <c r="I496" i="11"/>
  <c r="X495" i="11"/>
  <c r="V495" i="11"/>
  <c r="T495" i="11"/>
  <c r="R495" i="11"/>
  <c r="Q495" i="11"/>
  <c r="I495" i="11"/>
  <c r="X494" i="11"/>
  <c r="V494" i="11"/>
  <c r="T494" i="11"/>
  <c r="R494" i="11"/>
  <c r="Q494" i="11"/>
  <c r="I494" i="11"/>
  <c r="X493" i="11"/>
  <c r="V493" i="11"/>
  <c r="T493" i="11"/>
  <c r="R493" i="11"/>
  <c r="Q493" i="11"/>
  <c r="I493" i="11"/>
  <c r="X492" i="11"/>
  <c r="V492" i="11"/>
  <c r="T492" i="11"/>
  <c r="R492" i="11"/>
  <c r="Q492" i="11"/>
  <c r="I492" i="11"/>
  <c r="X491" i="11"/>
  <c r="V491" i="11"/>
  <c r="T491" i="11"/>
  <c r="R491" i="11"/>
  <c r="Q491" i="11"/>
  <c r="I491" i="11"/>
  <c r="X490" i="11"/>
  <c r="V490" i="11"/>
  <c r="T490" i="11"/>
  <c r="R490" i="11"/>
  <c r="Q490" i="11"/>
  <c r="I490" i="11"/>
  <c r="X489" i="11"/>
  <c r="V489" i="11"/>
  <c r="T489" i="11"/>
  <c r="R489" i="11"/>
  <c r="Q489" i="11"/>
  <c r="I489" i="11"/>
  <c r="X488" i="11"/>
  <c r="V488" i="11"/>
  <c r="T488" i="11"/>
  <c r="R488" i="11"/>
  <c r="Q488" i="11"/>
  <c r="I488" i="11"/>
  <c r="X487" i="11"/>
  <c r="V487" i="11"/>
  <c r="T487" i="11"/>
  <c r="R487" i="11"/>
  <c r="Q487" i="11"/>
  <c r="I487" i="11"/>
  <c r="X486" i="11"/>
  <c r="V486" i="11"/>
  <c r="T486" i="11"/>
  <c r="R486" i="11"/>
  <c r="Q486" i="11"/>
  <c r="I486" i="11"/>
  <c r="X485" i="11"/>
  <c r="V485" i="11"/>
  <c r="T485" i="11"/>
  <c r="R485" i="11"/>
  <c r="Q485" i="11"/>
  <c r="I485" i="11"/>
  <c r="X484" i="11"/>
  <c r="V484" i="11"/>
  <c r="T484" i="11"/>
  <c r="R484" i="11"/>
  <c r="Q484" i="11"/>
  <c r="I484" i="11"/>
  <c r="X483" i="11"/>
  <c r="V483" i="11"/>
  <c r="T483" i="11"/>
  <c r="R483" i="11"/>
  <c r="Q483" i="11"/>
  <c r="I483" i="11"/>
  <c r="X482" i="11"/>
  <c r="V482" i="11"/>
  <c r="T482" i="11"/>
  <c r="R482" i="11"/>
  <c r="Q482" i="11"/>
  <c r="I482" i="11"/>
  <c r="X481" i="11"/>
  <c r="V481" i="11"/>
  <c r="T481" i="11"/>
  <c r="R481" i="11"/>
  <c r="Q481" i="11"/>
  <c r="I481" i="11"/>
  <c r="X480" i="11"/>
  <c r="V480" i="11"/>
  <c r="T480" i="11"/>
  <c r="R480" i="11"/>
  <c r="Q480" i="11"/>
  <c r="I480" i="11"/>
  <c r="X479" i="11"/>
  <c r="V479" i="11"/>
  <c r="T479" i="11"/>
  <c r="R479" i="11"/>
  <c r="Q479" i="11"/>
  <c r="I479" i="11"/>
  <c r="X478" i="11"/>
  <c r="V478" i="11"/>
  <c r="T478" i="11"/>
  <c r="R478" i="11"/>
  <c r="Q478" i="11"/>
  <c r="I478" i="11"/>
  <c r="X477" i="11"/>
  <c r="V477" i="11"/>
  <c r="T477" i="11"/>
  <c r="R477" i="11"/>
  <c r="Q477" i="11"/>
  <c r="I477" i="11"/>
  <c r="X476" i="11"/>
  <c r="V476" i="11"/>
  <c r="T476" i="11"/>
  <c r="R476" i="11"/>
  <c r="Q476" i="11"/>
  <c r="I476" i="11"/>
  <c r="X475" i="11"/>
  <c r="V475" i="11"/>
  <c r="T475" i="11"/>
  <c r="R475" i="11"/>
  <c r="Q475" i="11"/>
  <c r="I475" i="11"/>
  <c r="X474" i="11"/>
  <c r="V474" i="11"/>
  <c r="T474" i="11"/>
  <c r="R474" i="11"/>
  <c r="Q474" i="11"/>
  <c r="I474" i="11"/>
  <c r="X473" i="11"/>
  <c r="V473" i="11"/>
  <c r="T473" i="11"/>
  <c r="R473" i="11"/>
  <c r="Q473" i="11"/>
  <c r="I473" i="11"/>
  <c r="X472" i="11"/>
  <c r="V472" i="11"/>
  <c r="T472" i="11"/>
  <c r="R472" i="11"/>
  <c r="Q472" i="11"/>
  <c r="I472" i="11"/>
  <c r="X471" i="11"/>
  <c r="V471" i="11"/>
  <c r="T471" i="11"/>
  <c r="R471" i="11"/>
  <c r="Q471" i="11"/>
  <c r="I471" i="11"/>
  <c r="X470" i="11"/>
  <c r="V470" i="11"/>
  <c r="T470" i="11"/>
  <c r="R470" i="11"/>
  <c r="Q470" i="11"/>
  <c r="I470" i="11"/>
  <c r="X469" i="11"/>
  <c r="V469" i="11"/>
  <c r="T469" i="11"/>
  <c r="R469" i="11"/>
  <c r="Q469" i="11"/>
  <c r="I469" i="11"/>
  <c r="X468" i="11"/>
  <c r="V468" i="11"/>
  <c r="T468" i="11"/>
  <c r="R468" i="11"/>
  <c r="Q468" i="11"/>
  <c r="I468" i="11"/>
  <c r="X467" i="11"/>
  <c r="V467" i="11"/>
  <c r="T467" i="11"/>
  <c r="R467" i="11"/>
  <c r="Q467" i="11"/>
  <c r="I467" i="11"/>
  <c r="X466" i="11"/>
  <c r="V466" i="11"/>
  <c r="T466" i="11"/>
  <c r="R466" i="11"/>
  <c r="Q466" i="11"/>
  <c r="I466" i="11"/>
  <c r="X465" i="11"/>
  <c r="V465" i="11"/>
  <c r="T465" i="11"/>
  <c r="R465" i="11"/>
  <c r="Q465" i="11"/>
  <c r="I465" i="11"/>
  <c r="X464" i="11"/>
  <c r="V464" i="11"/>
  <c r="T464" i="11"/>
  <c r="R464" i="11"/>
  <c r="Q464" i="11"/>
  <c r="I464" i="11"/>
  <c r="X463" i="11"/>
  <c r="V463" i="11"/>
  <c r="T463" i="11"/>
  <c r="R463" i="11"/>
  <c r="Q463" i="11"/>
  <c r="I463" i="11"/>
  <c r="X462" i="11"/>
  <c r="V462" i="11"/>
  <c r="T462" i="11"/>
  <c r="R462" i="11"/>
  <c r="Q462" i="11"/>
  <c r="I462" i="11"/>
  <c r="X461" i="11"/>
  <c r="V461" i="11"/>
  <c r="T461" i="11"/>
  <c r="R461" i="11"/>
  <c r="Q461" i="11"/>
  <c r="I461" i="11"/>
  <c r="X460" i="11"/>
  <c r="V460" i="11"/>
  <c r="T460" i="11"/>
  <c r="R460" i="11"/>
  <c r="Q460" i="11"/>
  <c r="I460" i="11"/>
  <c r="X459" i="11"/>
  <c r="V459" i="11"/>
  <c r="T459" i="11"/>
  <c r="R459" i="11"/>
  <c r="Q459" i="11"/>
  <c r="I459" i="11"/>
  <c r="X458" i="11"/>
  <c r="V458" i="11"/>
  <c r="T458" i="11"/>
  <c r="R458" i="11"/>
  <c r="Q458" i="11"/>
  <c r="I458" i="11"/>
  <c r="X457" i="11"/>
  <c r="V457" i="11"/>
  <c r="T457" i="11"/>
  <c r="R457" i="11"/>
  <c r="Q457" i="11"/>
  <c r="I457" i="11"/>
  <c r="X456" i="11"/>
  <c r="V456" i="11"/>
  <c r="T456" i="11"/>
  <c r="R456" i="11"/>
  <c r="Q456" i="11"/>
  <c r="I456" i="11"/>
  <c r="X455" i="11"/>
  <c r="V455" i="11"/>
  <c r="T455" i="11"/>
  <c r="R455" i="11"/>
  <c r="Q455" i="11"/>
  <c r="I455" i="11"/>
  <c r="X454" i="11"/>
  <c r="V454" i="11"/>
  <c r="T454" i="11"/>
  <c r="R454" i="11"/>
  <c r="Q454" i="11"/>
  <c r="I454" i="11"/>
  <c r="X453" i="11"/>
  <c r="V453" i="11"/>
  <c r="T453" i="11"/>
  <c r="R453" i="11"/>
  <c r="Q453" i="11"/>
  <c r="I453" i="11"/>
  <c r="X452" i="11"/>
  <c r="V452" i="11"/>
  <c r="T452" i="11"/>
  <c r="R452" i="11"/>
  <c r="Q452" i="11"/>
  <c r="I452" i="11"/>
  <c r="X451" i="11"/>
  <c r="V451" i="11"/>
  <c r="T451" i="11"/>
  <c r="R451" i="11"/>
  <c r="Q451" i="11"/>
  <c r="I451" i="11"/>
  <c r="X450" i="11"/>
  <c r="V450" i="11"/>
  <c r="T450" i="11"/>
  <c r="R450" i="11"/>
  <c r="Q450" i="11"/>
  <c r="I450" i="11"/>
  <c r="X449" i="11"/>
  <c r="V449" i="11"/>
  <c r="T449" i="11"/>
  <c r="R449" i="11"/>
  <c r="Q449" i="11"/>
  <c r="I449" i="11"/>
  <c r="X448" i="11"/>
  <c r="V448" i="11"/>
  <c r="T448" i="11"/>
  <c r="R448" i="11"/>
  <c r="Q448" i="11"/>
  <c r="I448" i="11"/>
  <c r="X447" i="11"/>
  <c r="V447" i="11"/>
  <c r="T447" i="11"/>
  <c r="R447" i="11"/>
  <c r="Q447" i="11"/>
  <c r="I447" i="11"/>
  <c r="X446" i="11"/>
  <c r="V446" i="11"/>
  <c r="T446" i="11"/>
  <c r="R446" i="11"/>
  <c r="Q446" i="11"/>
  <c r="I446" i="11"/>
  <c r="X445" i="11"/>
  <c r="V445" i="11"/>
  <c r="T445" i="11"/>
  <c r="R445" i="11"/>
  <c r="Q445" i="11"/>
  <c r="I445" i="11"/>
  <c r="X444" i="11"/>
  <c r="V444" i="11"/>
  <c r="T444" i="11"/>
  <c r="R444" i="11"/>
  <c r="Q444" i="11"/>
  <c r="I444" i="11"/>
  <c r="X443" i="11"/>
  <c r="V443" i="11"/>
  <c r="T443" i="11"/>
  <c r="R443" i="11"/>
  <c r="Q443" i="11"/>
  <c r="I443" i="11"/>
  <c r="X442" i="11"/>
  <c r="V442" i="11"/>
  <c r="T442" i="11"/>
  <c r="R442" i="11"/>
  <c r="Q442" i="11"/>
  <c r="I442" i="11"/>
  <c r="X441" i="11"/>
  <c r="V441" i="11"/>
  <c r="T441" i="11"/>
  <c r="R441" i="11"/>
  <c r="Q441" i="11"/>
  <c r="I441" i="11"/>
  <c r="X440" i="11"/>
  <c r="V440" i="11"/>
  <c r="T440" i="11"/>
  <c r="R440" i="11"/>
  <c r="Q440" i="11"/>
  <c r="I440" i="11"/>
  <c r="X439" i="11"/>
  <c r="V439" i="11"/>
  <c r="T439" i="11"/>
  <c r="R439" i="11"/>
  <c r="Q439" i="11"/>
  <c r="I439" i="11"/>
  <c r="X438" i="11"/>
  <c r="V438" i="11"/>
  <c r="T438" i="11"/>
  <c r="R438" i="11"/>
  <c r="Q438" i="11"/>
  <c r="I438" i="11"/>
  <c r="X437" i="11"/>
  <c r="V437" i="11"/>
  <c r="T437" i="11"/>
  <c r="R437" i="11"/>
  <c r="Q437" i="11"/>
  <c r="I437" i="11"/>
  <c r="X436" i="11"/>
  <c r="V436" i="11"/>
  <c r="T436" i="11"/>
  <c r="R436" i="11"/>
  <c r="Q436" i="11"/>
  <c r="I436" i="11"/>
  <c r="X435" i="11"/>
  <c r="V435" i="11"/>
  <c r="T435" i="11"/>
  <c r="R435" i="11"/>
  <c r="Q435" i="11"/>
  <c r="I435" i="11"/>
  <c r="X434" i="11"/>
  <c r="V434" i="11"/>
  <c r="T434" i="11"/>
  <c r="R434" i="11"/>
  <c r="Q434" i="11"/>
  <c r="I434" i="11"/>
  <c r="X433" i="11"/>
  <c r="V433" i="11"/>
  <c r="T433" i="11"/>
  <c r="R433" i="11"/>
  <c r="Q433" i="11"/>
  <c r="I433" i="11"/>
  <c r="X432" i="11"/>
  <c r="V432" i="11"/>
  <c r="T432" i="11"/>
  <c r="R432" i="11"/>
  <c r="Q432" i="11"/>
  <c r="I432" i="11"/>
  <c r="X431" i="11"/>
  <c r="V431" i="11"/>
  <c r="T431" i="11"/>
  <c r="R431" i="11"/>
  <c r="Q431" i="11"/>
  <c r="I431" i="11"/>
  <c r="X430" i="11"/>
  <c r="V430" i="11"/>
  <c r="T430" i="11"/>
  <c r="R430" i="11"/>
  <c r="Q430" i="11"/>
  <c r="I430" i="11"/>
  <c r="X429" i="11"/>
  <c r="V429" i="11"/>
  <c r="T429" i="11"/>
  <c r="R429" i="11"/>
  <c r="Q429" i="11"/>
  <c r="I429" i="11"/>
  <c r="X428" i="11"/>
  <c r="V428" i="11"/>
  <c r="T428" i="11"/>
  <c r="R428" i="11"/>
  <c r="Q428" i="11"/>
  <c r="I428" i="11"/>
  <c r="X427" i="11"/>
  <c r="V427" i="11"/>
  <c r="T427" i="11"/>
  <c r="R427" i="11"/>
  <c r="Q427" i="11"/>
  <c r="I427" i="11"/>
  <c r="X426" i="11"/>
  <c r="V426" i="11"/>
  <c r="T426" i="11"/>
  <c r="R426" i="11"/>
  <c r="Q426" i="11"/>
  <c r="I426" i="11"/>
  <c r="X425" i="11"/>
  <c r="V425" i="11"/>
  <c r="T425" i="11"/>
  <c r="R425" i="11"/>
  <c r="Q425" i="11"/>
  <c r="I425" i="11"/>
  <c r="X424" i="11"/>
  <c r="V424" i="11"/>
  <c r="T424" i="11"/>
  <c r="R424" i="11"/>
  <c r="Q424" i="11"/>
  <c r="I424" i="11"/>
  <c r="X423" i="11"/>
  <c r="V423" i="11"/>
  <c r="T423" i="11"/>
  <c r="R423" i="11"/>
  <c r="Q423" i="11"/>
  <c r="I423" i="11"/>
  <c r="X422" i="11"/>
  <c r="V422" i="11"/>
  <c r="T422" i="11"/>
  <c r="R422" i="11"/>
  <c r="Q422" i="11"/>
  <c r="I422" i="11"/>
  <c r="X421" i="11"/>
  <c r="V421" i="11"/>
  <c r="T421" i="11"/>
  <c r="R421" i="11"/>
  <c r="Q421" i="11"/>
  <c r="I421" i="11"/>
  <c r="X420" i="11"/>
  <c r="V420" i="11"/>
  <c r="T420" i="11"/>
  <c r="R420" i="11"/>
  <c r="Q420" i="11"/>
  <c r="I420" i="11"/>
  <c r="X419" i="11"/>
  <c r="V419" i="11"/>
  <c r="T419" i="11"/>
  <c r="R419" i="11"/>
  <c r="Q419" i="11"/>
  <c r="I419" i="11"/>
  <c r="X418" i="11"/>
  <c r="V418" i="11"/>
  <c r="T418" i="11"/>
  <c r="R418" i="11"/>
  <c r="Q418" i="11"/>
  <c r="I418" i="11"/>
  <c r="X417" i="11"/>
  <c r="V417" i="11"/>
  <c r="T417" i="11"/>
  <c r="R417" i="11"/>
  <c r="Q417" i="11"/>
  <c r="I417" i="11"/>
  <c r="X416" i="11"/>
  <c r="V416" i="11"/>
  <c r="T416" i="11"/>
  <c r="R416" i="11"/>
  <c r="Q416" i="11"/>
  <c r="I416" i="11"/>
  <c r="X415" i="11"/>
  <c r="V415" i="11"/>
  <c r="T415" i="11"/>
  <c r="R415" i="11"/>
  <c r="Q415" i="11"/>
  <c r="I415" i="11"/>
  <c r="X414" i="11"/>
  <c r="V414" i="11"/>
  <c r="T414" i="11"/>
  <c r="R414" i="11"/>
  <c r="Q414" i="11"/>
  <c r="I414" i="11"/>
  <c r="X413" i="11"/>
  <c r="V413" i="11"/>
  <c r="T413" i="11"/>
  <c r="R413" i="11"/>
  <c r="Q413" i="11"/>
  <c r="I413" i="11"/>
  <c r="X412" i="11"/>
  <c r="V412" i="11"/>
  <c r="T412" i="11"/>
  <c r="R412" i="11"/>
  <c r="Q412" i="11"/>
  <c r="I412" i="11"/>
  <c r="X411" i="11"/>
  <c r="V411" i="11"/>
  <c r="T411" i="11"/>
  <c r="R411" i="11"/>
  <c r="Q411" i="11"/>
  <c r="I411" i="11"/>
  <c r="X410" i="11"/>
  <c r="V410" i="11"/>
  <c r="T410" i="11"/>
  <c r="R410" i="11"/>
  <c r="Q410" i="11"/>
  <c r="I410" i="11"/>
  <c r="X409" i="11"/>
  <c r="V409" i="11"/>
  <c r="T409" i="11"/>
  <c r="R409" i="11"/>
  <c r="Q409" i="11"/>
  <c r="I409" i="11"/>
  <c r="X408" i="11"/>
  <c r="V408" i="11"/>
  <c r="T408" i="11"/>
  <c r="R408" i="11"/>
  <c r="Q408" i="11"/>
  <c r="I408" i="11"/>
  <c r="X407" i="11"/>
  <c r="V407" i="11"/>
  <c r="T407" i="11"/>
  <c r="R407" i="11"/>
  <c r="Q407" i="11"/>
  <c r="I407" i="11"/>
  <c r="X406" i="11"/>
  <c r="V406" i="11"/>
  <c r="T406" i="11"/>
  <c r="R406" i="11"/>
  <c r="Q406" i="11"/>
  <c r="I406" i="11"/>
  <c r="X405" i="11"/>
  <c r="V405" i="11"/>
  <c r="T405" i="11"/>
  <c r="R405" i="11"/>
  <c r="Q405" i="11"/>
  <c r="I405" i="11"/>
  <c r="X404" i="11"/>
  <c r="V404" i="11"/>
  <c r="T404" i="11"/>
  <c r="R404" i="11"/>
  <c r="Q404" i="11"/>
  <c r="I404" i="11"/>
  <c r="X403" i="11"/>
  <c r="V403" i="11"/>
  <c r="T403" i="11"/>
  <c r="R403" i="11"/>
  <c r="Q403" i="11"/>
  <c r="I403" i="11"/>
  <c r="X402" i="11"/>
  <c r="V402" i="11"/>
  <c r="T402" i="11"/>
  <c r="R402" i="11"/>
  <c r="Q402" i="11"/>
  <c r="I402" i="11"/>
  <c r="X401" i="11"/>
  <c r="V401" i="11"/>
  <c r="T401" i="11"/>
  <c r="R401" i="11"/>
  <c r="Q401" i="11"/>
  <c r="I401" i="11"/>
  <c r="X400" i="11"/>
  <c r="V400" i="11"/>
  <c r="T400" i="11"/>
  <c r="R400" i="11"/>
  <c r="Q400" i="11"/>
  <c r="I400" i="11"/>
  <c r="X399" i="11"/>
  <c r="V399" i="11"/>
  <c r="T399" i="11"/>
  <c r="R399" i="11"/>
  <c r="Q399" i="11"/>
  <c r="I399" i="11"/>
  <c r="X398" i="11"/>
  <c r="V398" i="11"/>
  <c r="T398" i="11"/>
  <c r="R398" i="11"/>
  <c r="Q398" i="11"/>
  <c r="I398" i="11"/>
  <c r="X397" i="11"/>
  <c r="V397" i="11"/>
  <c r="T397" i="11"/>
  <c r="R397" i="11"/>
  <c r="Q397" i="11"/>
  <c r="I397" i="11"/>
  <c r="X396" i="11"/>
  <c r="V396" i="11"/>
  <c r="T396" i="11"/>
  <c r="R396" i="11"/>
  <c r="Q396" i="11"/>
  <c r="I396" i="11"/>
  <c r="X395" i="11"/>
  <c r="V395" i="11"/>
  <c r="T395" i="11"/>
  <c r="R395" i="11"/>
  <c r="Q395" i="11"/>
  <c r="I395" i="11"/>
  <c r="X394" i="11"/>
  <c r="V394" i="11"/>
  <c r="T394" i="11"/>
  <c r="R394" i="11"/>
  <c r="Q394" i="11"/>
  <c r="I394" i="11"/>
  <c r="X393" i="11"/>
  <c r="V393" i="11"/>
  <c r="T393" i="11"/>
  <c r="R393" i="11"/>
  <c r="Q393" i="11"/>
  <c r="I393" i="11"/>
  <c r="X392" i="11"/>
  <c r="V392" i="11"/>
  <c r="T392" i="11"/>
  <c r="R392" i="11"/>
  <c r="Q392" i="11"/>
  <c r="I392" i="11"/>
  <c r="X391" i="11"/>
  <c r="V391" i="11"/>
  <c r="T391" i="11"/>
  <c r="R391" i="11"/>
  <c r="Q391" i="11"/>
  <c r="I391" i="11"/>
  <c r="X390" i="11"/>
  <c r="V390" i="11"/>
  <c r="T390" i="11"/>
  <c r="R390" i="11"/>
  <c r="Q390" i="11"/>
  <c r="I390" i="11"/>
  <c r="X389" i="11"/>
  <c r="V389" i="11"/>
  <c r="T389" i="11"/>
  <c r="R389" i="11"/>
  <c r="Q389" i="11"/>
  <c r="I389" i="11"/>
  <c r="X388" i="11"/>
  <c r="V388" i="11"/>
  <c r="T388" i="11"/>
  <c r="R388" i="11"/>
  <c r="Q388" i="11"/>
  <c r="I388" i="11"/>
  <c r="X387" i="11"/>
  <c r="V387" i="11"/>
  <c r="T387" i="11"/>
  <c r="R387" i="11"/>
  <c r="Q387" i="11"/>
  <c r="I387" i="11"/>
  <c r="X386" i="11"/>
  <c r="V386" i="11"/>
  <c r="T386" i="11"/>
  <c r="R386" i="11"/>
  <c r="Q386" i="11"/>
  <c r="I386" i="11"/>
  <c r="X385" i="11"/>
  <c r="V385" i="11"/>
  <c r="T385" i="11"/>
  <c r="R385" i="11"/>
  <c r="Q385" i="11"/>
  <c r="I385" i="11"/>
  <c r="X384" i="11"/>
  <c r="V384" i="11"/>
  <c r="T384" i="11"/>
  <c r="R384" i="11"/>
  <c r="Q384" i="11"/>
  <c r="I384" i="11"/>
  <c r="X383" i="11"/>
  <c r="V383" i="11"/>
  <c r="T383" i="11"/>
  <c r="R383" i="11"/>
  <c r="Q383" i="11"/>
  <c r="I383" i="11"/>
  <c r="X382" i="11"/>
  <c r="V382" i="11"/>
  <c r="T382" i="11"/>
  <c r="R382" i="11"/>
  <c r="Q382" i="11"/>
  <c r="I382" i="11"/>
  <c r="X381" i="11"/>
  <c r="V381" i="11"/>
  <c r="T381" i="11"/>
  <c r="R381" i="11"/>
  <c r="Q381" i="11"/>
  <c r="I381" i="11"/>
  <c r="X380" i="11"/>
  <c r="V380" i="11"/>
  <c r="T380" i="11"/>
  <c r="R380" i="11"/>
  <c r="Q380" i="11"/>
  <c r="I380" i="11"/>
  <c r="X379" i="11"/>
  <c r="V379" i="11"/>
  <c r="T379" i="11"/>
  <c r="R379" i="11"/>
  <c r="Q379" i="11"/>
  <c r="I379" i="11"/>
  <c r="X378" i="11"/>
  <c r="V378" i="11"/>
  <c r="T378" i="11"/>
  <c r="R378" i="11"/>
  <c r="Q378" i="11"/>
  <c r="I378" i="11"/>
  <c r="X377" i="11"/>
  <c r="V377" i="11"/>
  <c r="T377" i="11"/>
  <c r="R377" i="11"/>
  <c r="Q377" i="11"/>
  <c r="I377" i="11"/>
  <c r="X376" i="11"/>
  <c r="V376" i="11"/>
  <c r="T376" i="11"/>
  <c r="R376" i="11"/>
  <c r="Q376" i="11"/>
  <c r="I376" i="11"/>
  <c r="X375" i="11"/>
  <c r="V375" i="11"/>
  <c r="T375" i="11"/>
  <c r="R375" i="11"/>
  <c r="Q375" i="11"/>
  <c r="I375" i="11"/>
  <c r="X374" i="11"/>
  <c r="V374" i="11"/>
  <c r="T374" i="11"/>
  <c r="R374" i="11"/>
  <c r="Q374" i="11"/>
  <c r="I374" i="11"/>
  <c r="X373" i="11"/>
  <c r="V373" i="11"/>
  <c r="T373" i="11"/>
  <c r="R373" i="11"/>
  <c r="Q373" i="11"/>
  <c r="I373" i="11"/>
  <c r="X372" i="11"/>
  <c r="V372" i="11"/>
  <c r="T372" i="11"/>
  <c r="R372" i="11"/>
  <c r="Q372" i="11"/>
  <c r="I372" i="11"/>
  <c r="X371" i="11"/>
  <c r="V371" i="11"/>
  <c r="T371" i="11"/>
  <c r="R371" i="11"/>
  <c r="Q371" i="11"/>
  <c r="I371" i="11"/>
  <c r="X370" i="11"/>
  <c r="V370" i="11"/>
  <c r="T370" i="11"/>
  <c r="R370" i="11"/>
  <c r="Q370" i="11"/>
  <c r="I370" i="11"/>
  <c r="X369" i="11"/>
  <c r="V369" i="11"/>
  <c r="T369" i="11"/>
  <c r="R369" i="11"/>
  <c r="Q369" i="11"/>
  <c r="I369" i="11"/>
  <c r="X368" i="11"/>
  <c r="V368" i="11"/>
  <c r="T368" i="11"/>
  <c r="R368" i="11"/>
  <c r="Q368" i="11"/>
  <c r="I368" i="11"/>
  <c r="X367" i="11"/>
  <c r="V367" i="11"/>
  <c r="T367" i="11"/>
  <c r="R367" i="11"/>
  <c r="Q367" i="11"/>
  <c r="I367" i="11"/>
  <c r="X366" i="11"/>
  <c r="V366" i="11"/>
  <c r="T366" i="11"/>
  <c r="R366" i="11"/>
  <c r="Q366" i="11"/>
  <c r="I366" i="11"/>
  <c r="X365" i="11"/>
  <c r="V365" i="11"/>
  <c r="T365" i="11"/>
  <c r="R365" i="11"/>
  <c r="Q365" i="11"/>
  <c r="I365" i="11"/>
  <c r="X364" i="11"/>
  <c r="V364" i="11"/>
  <c r="T364" i="11"/>
  <c r="R364" i="11"/>
  <c r="Q364" i="11"/>
  <c r="I364" i="11"/>
  <c r="X363" i="11"/>
  <c r="V363" i="11"/>
  <c r="T363" i="11"/>
  <c r="R363" i="11"/>
  <c r="Q363" i="11"/>
  <c r="I363" i="11"/>
  <c r="X362" i="11"/>
  <c r="V362" i="11"/>
  <c r="T362" i="11"/>
  <c r="R362" i="11"/>
  <c r="Q362" i="11"/>
  <c r="I362" i="11"/>
  <c r="X361" i="11"/>
  <c r="V361" i="11"/>
  <c r="T361" i="11"/>
  <c r="R361" i="11"/>
  <c r="Q361" i="11"/>
  <c r="I361" i="11"/>
  <c r="X360" i="11"/>
  <c r="V360" i="11"/>
  <c r="T360" i="11"/>
  <c r="R360" i="11"/>
  <c r="Q360" i="11"/>
  <c r="I360" i="11"/>
  <c r="X359" i="11"/>
  <c r="V359" i="11"/>
  <c r="T359" i="11"/>
  <c r="R359" i="11"/>
  <c r="Q359" i="11"/>
  <c r="I359" i="11"/>
  <c r="X358" i="11"/>
  <c r="V358" i="11"/>
  <c r="T358" i="11"/>
  <c r="R358" i="11"/>
  <c r="Q358" i="11"/>
  <c r="I358" i="11"/>
  <c r="X357" i="11"/>
  <c r="V357" i="11"/>
  <c r="T357" i="11"/>
  <c r="R357" i="11"/>
  <c r="Q357" i="11"/>
  <c r="I357" i="11"/>
  <c r="X356" i="11"/>
  <c r="V356" i="11"/>
  <c r="T356" i="11"/>
  <c r="R356" i="11"/>
  <c r="Q356" i="11"/>
  <c r="I356" i="11"/>
  <c r="X355" i="11"/>
  <c r="V355" i="11"/>
  <c r="T355" i="11"/>
  <c r="R355" i="11"/>
  <c r="Q355" i="11"/>
  <c r="I355" i="11"/>
  <c r="X354" i="11"/>
  <c r="V354" i="11"/>
  <c r="T354" i="11"/>
  <c r="R354" i="11"/>
  <c r="Q354" i="11"/>
  <c r="I354" i="11"/>
  <c r="X353" i="11"/>
  <c r="V353" i="11"/>
  <c r="T353" i="11"/>
  <c r="R353" i="11"/>
  <c r="Q353" i="11"/>
  <c r="I353" i="11"/>
  <c r="X352" i="11"/>
  <c r="V352" i="11"/>
  <c r="T352" i="11"/>
  <c r="R352" i="11"/>
  <c r="Q352" i="11"/>
  <c r="I352" i="11"/>
  <c r="X351" i="11"/>
  <c r="V351" i="11"/>
  <c r="T351" i="11"/>
  <c r="R351" i="11"/>
  <c r="Q351" i="11"/>
  <c r="I351" i="11"/>
  <c r="X350" i="11"/>
  <c r="V350" i="11"/>
  <c r="T350" i="11"/>
  <c r="R350" i="11"/>
  <c r="Q350" i="11"/>
  <c r="I350" i="11"/>
  <c r="X349" i="11"/>
  <c r="V349" i="11"/>
  <c r="T349" i="11"/>
  <c r="R349" i="11"/>
  <c r="Q349" i="11"/>
  <c r="I349" i="11"/>
  <c r="X348" i="11"/>
  <c r="V348" i="11"/>
  <c r="T348" i="11"/>
  <c r="R348" i="11"/>
  <c r="Q348" i="11"/>
  <c r="I348" i="11"/>
  <c r="X347" i="11"/>
  <c r="V347" i="11"/>
  <c r="T347" i="11"/>
  <c r="R347" i="11"/>
  <c r="Q347" i="11"/>
  <c r="I347" i="11"/>
  <c r="X346" i="11"/>
  <c r="V346" i="11"/>
  <c r="T346" i="11"/>
  <c r="R346" i="11"/>
  <c r="Q346" i="11"/>
  <c r="I346" i="11"/>
  <c r="X345" i="11"/>
  <c r="V345" i="11"/>
  <c r="T345" i="11"/>
  <c r="R345" i="11"/>
  <c r="Q345" i="11"/>
  <c r="I345" i="11"/>
  <c r="X344" i="11"/>
  <c r="V344" i="11"/>
  <c r="T344" i="11"/>
  <c r="R344" i="11"/>
  <c r="Q344" i="11"/>
  <c r="I344" i="11"/>
  <c r="X343" i="11"/>
  <c r="V343" i="11"/>
  <c r="T343" i="11"/>
  <c r="R343" i="11"/>
  <c r="Q343" i="11"/>
  <c r="I343" i="11"/>
  <c r="X342" i="11"/>
  <c r="V342" i="11"/>
  <c r="T342" i="11"/>
  <c r="R342" i="11"/>
  <c r="Q342" i="11"/>
  <c r="I342" i="11"/>
  <c r="X341" i="11"/>
  <c r="V341" i="11"/>
  <c r="T341" i="11"/>
  <c r="R341" i="11"/>
  <c r="Q341" i="11"/>
  <c r="I341" i="11"/>
  <c r="X340" i="11"/>
  <c r="V340" i="11"/>
  <c r="T340" i="11"/>
  <c r="R340" i="11"/>
  <c r="Q340" i="11"/>
  <c r="I340" i="11"/>
  <c r="X339" i="11"/>
  <c r="V339" i="11"/>
  <c r="T339" i="11"/>
  <c r="R339" i="11"/>
  <c r="Q339" i="11"/>
  <c r="I339" i="11"/>
  <c r="X338" i="11"/>
  <c r="V338" i="11"/>
  <c r="T338" i="11"/>
  <c r="R338" i="11"/>
  <c r="Q338" i="11"/>
  <c r="I338" i="11"/>
  <c r="X337" i="11"/>
  <c r="V337" i="11"/>
  <c r="T337" i="11"/>
  <c r="R337" i="11"/>
  <c r="Q337" i="11"/>
  <c r="I337" i="11"/>
  <c r="X336" i="11"/>
  <c r="V336" i="11"/>
  <c r="T336" i="11"/>
  <c r="R336" i="11"/>
  <c r="Q336" i="11"/>
  <c r="I336" i="11"/>
  <c r="X335" i="11"/>
  <c r="V335" i="11"/>
  <c r="T335" i="11"/>
  <c r="R335" i="11"/>
  <c r="Q335" i="11"/>
  <c r="I335" i="11"/>
  <c r="X334" i="11"/>
  <c r="V334" i="11"/>
  <c r="T334" i="11"/>
  <c r="R334" i="11"/>
  <c r="Q334" i="11"/>
  <c r="I334" i="11"/>
  <c r="X333" i="11"/>
  <c r="V333" i="11"/>
  <c r="T333" i="11"/>
  <c r="R333" i="11"/>
  <c r="Q333" i="11"/>
  <c r="I333" i="11"/>
  <c r="X332" i="11"/>
  <c r="V332" i="11"/>
  <c r="T332" i="11"/>
  <c r="R332" i="11"/>
  <c r="Q332" i="11"/>
  <c r="I332" i="11"/>
  <c r="X331" i="11"/>
  <c r="V331" i="11"/>
  <c r="T331" i="11"/>
  <c r="R331" i="11"/>
  <c r="Q331" i="11"/>
  <c r="I331" i="11"/>
  <c r="X330" i="11"/>
  <c r="V330" i="11"/>
  <c r="T330" i="11"/>
  <c r="R330" i="11"/>
  <c r="Q330" i="11"/>
  <c r="I330" i="11"/>
  <c r="X329" i="11"/>
  <c r="V329" i="11"/>
  <c r="T329" i="11"/>
  <c r="R329" i="11"/>
  <c r="Q329" i="11"/>
  <c r="I329" i="11"/>
  <c r="X328" i="11"/>
  <c r="V328" i="11"/>
  <c r="T328" i="11"/>
  <c r="R328" i="11"/>
  <c r="Q328" i="11"/>
  <c r="I328" i="11"/>
  <c r="X327" i="11"/>
  <c r="V327" i="11"/>
  <c r="T327" i="11"/>
  <c r="R327" i="11"/>
  <c r="Q327" i="11"/>
  <c r="I327" i="11"/>
  <c r="X326" i="11"/>
  <c r="V326" i="11"/>
  <c r="T326" i="11"/>
  <c r="R326" i="11"/>
  <c r="Q326" i="11"/>
  <c r="I326" i="11"/>
  <c r="X325" i="11"/>
  <c r="V325" i="11"/>
  <c r="T325" i="11"/>
  <c r="R325" i="11"/>
  <c r="Q325" i="11"/>
  <c r="I325" i="11"/>
  <c r="X324" i="11"/>
  <c r="V324" i="11"/>
  <c r="T324" i="11"/>
  <c r="R324" i="11"/>
  <c r="Q324" i="11"/>
  <c r="I324" i="11"/>
  <c r="X323" i="11"/>
  <c r="V323" i="11"/>
  <c r="T323" i="11"/>
  <c r="R323" i="11"/>
  <c r="Q323" i="11"/>
  <c r="I323" i="11"/>
  <c r="X322" i="11"/>
  <c r="V322" i="11"/>
  <c r="T322" i="11"/>
  <c r="R322" i="11"/>
  <c r="Q322" i="11"/>
  <c r="I322" i="11"/>
  <c r="X321" i="11"/>
  <c r="V321" i="11"/>
  <c r="T321" i="11"/>
  <c r="R321" i="11"/>
  <c r="Q321" i="11"/>
  <c r="I321" i="11"/>
  <c r="X320" i="11"/>
  <c r="V320" i="11"/>
  <c r="T320" i="11"/>
  <c r="R320" i="11"/>
  <c r="Q320" i="11"/>
  <c r="I320" i="11"/>
  <c r="X319" i="11"/>
  <c r="V319" i="11"/>
  <c r="T319" i="11"/>
  <c r="R319" i="11"/>
  <c r="Q319" i="11"/>
  <c r="I319" i="11"/>
  <c r="X318" i="11"/>
  <c r="V318" i="11"/>
  <c r="T318" i="11"/>
  <c r="R318" i="11"/>
  <c r="Q318" i="11"/>
  <c r="I318" i="11"/>
  <c r="X317" i="11"/>
  <c r="V317" i="11"/>
  <c r="T317" i="11"/>
  <c r="R317" i="11"/>
  <c r="Q317" i="11"/>
  <c r="I317" i="11"/>
  <c r="X316" i="11"/>
  <c r="V316" i="11"/>
  <c r="T316" i="11"/>
  <c r="R316" i="11"/>
  <c r="Q316" i="11"/>
  <c r="I316" i="11"/>
  <c r="X315" i="11"/>
  <c r="V315" i="11"/>
  <c r="T315" i="11"/>
  <c r="R315" i="11"/>
  <c r="Q315" i="11"/>
  <c r="I315" i="11"/>
  <c r="X314" i="11"/>
  <c r="V314" i="11"/>
  <c r="T314" i="11"/>
  <c r="R314" i="11"/>
  <c r="Q314" i="11"/>
  <c r="I314" i="11"/>
  <c r="X313" i="11"/>
  <c r="V313" i="11"/>
  <c r="T313" i="11"/>
  <c r="R313" i="11"/>
  <c r="Q313" i="11"/>
  <c r="I313" i="11"/>
  <c r="X312" i="11"/>
  <c r="V312" i="11"/>
  <c r="T312" i="11"/>
  <c r="R312" i="11"/>
  <c r="Q312" i="11"/>
  <c r="I312" i="11"/>
  <c r="X311" i="11"/>
  <c r="V311" i="11"/>
  <c r="T311" i="11"/>
  <c r="R311" i="11"/>
  <c r="Q311" i="11"/>
  <c r="I311" i="11"/>
  <c r="X310" i="11"/>
  <c r="V310" i="11"/>
  <c r="T310" i="11"/>
  <c r="R310" i="11"/>
  <c r="Q310" i="11"/>
  <c r="I310" i="11"/>
  <c r="X309" i="11"/>
  <c r="V309" i="11"/>
  <c r="T309" i="11"/>
  <c r="R309" i="11"/>
  <c r="Q309" i="11"/>
  <c r="I309" i="11"/>
  <c r="X308" i="11"/>
  <c r="V308" i="11"/>
  <c r="T308" i="11"/>
  <c r="R308" i="11"/>
  <c r="Q308" i="11"/>
  <c r="I308" i="11"/>
  <c r="X307" i="11"/>
  <c r="V307" i="11"/>
  <c r="T307" i="11"/>
  <c r="R307" i="11"/>
  <c r="Q307" i="11"/>
  <c r="I307" i="11"/>
  <c r="X306" i="11"/>
  <c r="V306" i="11"/>
  <c r="T306" i="11"/>
  <c r="R306" i="11"/>
  <c r="Q306" i="11"/>
  <c r="I306" i="11"/>
  <c r="X305" i="11"/>
  <c r="V305" i="11"/>
  <c r="T305" i="11"/>
  <c r="R305" i="11"/>
  <c r="Q305" i="11"/>
  <c r="I305" i="11"/>
  <c r="X304" i="11"/>
  <c r="V304" i="11"/>
  <c r="T304" i="11"/>
  <c r="R304" i="11"/>
  <c r="Q304" i="11"/>
  <c r="I304" i="11"/>
  <c r="X303" i="11"/>
  <c r="V303" i="11"/>
  <c r="T303" i="11"/>
  <c r="R303" i="11"/>
  <c r="Q303" i="11"/>
  <c r="I303" i="11"/>
  <c r="X302" i="11"/>
  <c r="V302" i="11"/>
  <c r="T302" i="11"/>
  <c r="R302" i="11"/>
  <c r="Q302" i="11"/>
  <c r="I302" i="11"/>
  <c r="X301" i="11"/>
  <c r="V301" i="11"/>
  <c r="T301" i="11"/>
  <c r="R301" i="11"/>
  <c r="Q301" i="11"/>
  <c r="I301" i="11"/>
  <c r="X300" i="11"/>
  <c r="V300" i="11"/>
  <c r="T300" i="11"/>
  <c r="R300" i="11"/>
  <c r="Q300" i="11"/>
  <c r="I300" i="11"/>
  <c r="X299" i="11"/>
  <c r="V299" i="11"/>
  <c r="T299" i="11"/>
  <c r="R299" i="11"/>
  <c r="Q299" i="11"/>
  <c r="I299" i="11"/>
  <c r="X298" i="11"/>
  <c r="V298" i="11"/>
  <c r="T298" i="11"/>
  <c r="R298" i="11"/>
  <c r="Q298" i="11"/>
  <c r="I298" i="11"/>
  <c r="X297" i="11"/>
  <c r="V297" i="11"/>
  <c r="T297" i="11"/>
  <c r="R297" i="11"/>
  <c r="Q297" i="11"/>
  <c r="I297" i="11"/>
  <c r="X296" i="11"/>
  <c r="V296" i="11"/>
  <c r="T296" i="11"/>
  <c r="R296" i="11"/>
  <c r="Q296" i="11"/>
  <c r="I296" i="11"/>
  <c r="X295" i="11"/>
  <c r="V295" i="11"/>
  <c r="T295" i="11"/>
  <c r="R295" i="11"/>
  <c r="Q295" i="11"/>
  <c r="I295" i="11"/>
  <c r="X294" i="11"/>
  <c r="V294" i="11"/>
  <c r="T294" i="11"/>
  <c r="R294" i="11"/>
  <c r="Q294" i="11"/>
  <c r="I294" i="11"/>
  <c r="X293" i="11"/>
  <c r="V293" i="11"/>
  <c r="T293" i="11"/>
  <c r="R293" i="11"/>
  <c r="Q293" i="11"/>
  <c r="I293" i="11"/>
  <c r="X292" i="11"/>
  <c r="V292" i="11"/>
  <c r="T292" i="11"/>
  <c r="R292" i="11"/>
  <c r="Q292" i="11"/>
  <c r="I292" i="11"/>
  <c r="X291" i="11"/>
  <c r="V291" i="11"/>
  <c r="T291" i="11"/>
  <c r="R291" i="11"/>
  <c r="Q291" i="11"/>
  <c r="I291" i="11"/>
  <c r="X290" i="11"/>
  <c r="V290" i="11"/>
  <c r="T290" i="11"/>
  <c r="R290" i="11"/>
  <c r="Q290" i="11"/>
  <c r="I290" i="11"/>
  <c r="X289" i="11"/>
  <c r="V289" i="11"/>
  <c r="T289" i="11"/>
  <c r="R289" i="11"/>
  <c r="Q289" i="11"/>
  <c r="I289" i="11"/>
  <c r="X288" i="11"/>
  <c r="V288" i="11"/>
  <c r="T288" i="11"/>
  <c r="R288" i="11"/>
  <c r="Q288" i="11"/>
  <c r="I288" i="11"/>
  <c r="X287" i="11"/>
  <c r="V287" i="11"/>
  <c r="T287" i="11"/>
  <c r="R287" i="11"/>
  <c r="Q287" i="11"/>
  <c r="I287" i="11"/>
  <c r="X286" i="11"/>
  <c r="V286" i="11"/>
  <c r="T286" i="11"/>
  <c r="R286" i="11"/>
  <c r="Q286" i="11"/>
  <c r="I286" i="11"/>
  <c r="X285" i="11"/>
  <c r="V285" i="11"/>
  <c r="T285" i="11"/>
  <c r="R285" i="11"/>
  <c r="Q285" i="11"/>
  <c r="I285" i="11"/>
  <c r="X284" i="11"/>
  <c r="V284" i="11"/>
  <c r="T284" i="11"/>
  <c r="R284" i="11"/>
  <c r="Q284" i="11"/>
  <c r="I284" i="11"/>
  <c r="X283" i="11"/>
  <c r="V283" i="11"/>
  <c r="T283" i="11"/>
  <c r="R283" i="11"/>
  <c r="Q283" i="11"/>
  <c r="I283" i="11"/>
  <c r="X282" i="11"/>
  <c r="V282" i="11"/>
  <c r="T282" i="11"/>
  <c r="R282" i="11"/>
  <c r="Q282" i="11"/>
  <c r="I282" i="11"/>
  <c r="X281" i="11"/>
  <c r="V281" i="11"/>
  <c r="T281" i="11"/>
  <c r="R281" i="11"/>
  <c r="Q281" i="11"/>
  <c r="I281" i="11"/>
  <c r="X280" i="11"/>
  <c r="V280" i="11"/>
  <c r="T280" i="11"/>
  <c r="R280" i="11"/>
  <c r="Q280" i="11"/>
  <c r="I280" i="11"/>
  <c r="X279" i="11"/>
  <c r="V279" i="11"/>
  <c r="T279" i="11"/>
  <c r="R279" i="11"/>
  <c r="Q279" i="11"/>
  <c r="I279" i="11"/>
  <c r="X278" i="11"/>
  <c r="V278" i="11"/>
  <c r="T278" i="11"/>
  <c r="R278" i="11"/>
  <c r="Q278" i="11"/>
  <c r="I278" i="11"/>
  <c r="X277" i="11"/>
  <c r="V277" i="11"/>
  <c r="T277" i="11"/>
  <c r="R277" i="11"/>
  <c r="Q277" i="11"/>
  <c r="I277" i="11"/>
  <c r="X276" i="11"/>
  <c r="V276" i="11"/>
  <c r="T276" i="11"/>
  <c r="R276" i="11"/>
  <c r="Q276" i="11"/>
  <c r="I276" i="11"/>
  <c r="X275" i="11"/>
  <c r="V275" i="11"/>
  <c r="T275" i="11"/>
  <c r="R275" i="11"/>
  <c r="Q275" i="11"/>
  <c r="I275" i="11"/>
  <c r="X274" i="11"/>
  <c r="V274" i="11"/>
  <c r="T274" i="11"/>
  <c r="R274" i="11"/>
  <c r="Q274" i="11"/>
  <c r="I274" i="11"/>
  <c r="X273" i="11"/>
  <c r="V273" i="11"/>
  <c r="T273" i="11"/>
  <c r="R273" i="11"/>
  <c r="Q273" i="11"/>
  <c r="I273" i="11"/>
  <c r="X272" i="11"/>
  <c r="V272" i="11"/>
  <c r="T272" i="11"/>
  <c r="R272" i="11"/>
  <c r="Q272" i="11"/>
  <c r="I272" i="11"/>
  <c r="X271" i="11"/>
  <c r="V271" i="11"/>
  <c r="T271" i="11"/>
  <c r="R271" i="11"/>
  <c r="Q271" i="11"/>
  <c r="I271" i="11"/>
  <c r="X270" i="11"/>
  <c r="V270" i="11"/>
  <c r="T270" i="11"/>
  <c r="R270" i="11"/>
  <c r="Q270" i="11"/>
  <c r="I270" i="11"/>
  <c r="X269" i="11"/>
  <c r="V269" i="11"/>
  <c r="T269" i="11"/>
  <c r="R269" i="11"/>
  <c r="Q269" i="11"/>
  <c r="I269" i="11"/>
  <c r="X268" i="11"/>
  <c r="V268" i="11"/>
  <c r="T268" i="11"/>
  <c r="R268" i="11"/>
  <c r="Q268" i="11"/>
  <c r="I268" i="11"/>
  <c r="X267" i="11"/>
  <c r="V267" i="11"/>
  <c r="T267" i="11"/>
  <c r="R267" i="11"/>
  <c r="Q267" i="11"/>
  <c r="I267" i="11"/>
  <c r="X266" i="11"/>
  <c r="V266" i="11"/>
  <c r="T266" i="11"/>
  <c r="R266" i="11"/>
  <c r="Q266" i="11"/>
  <c r="I266" i="11"/>
  <c r="X265" i="11"/>
  <c r="V265" i="11"/>
  <c r="T265" i="11"/>
  <c r="R265" i="11"/>
  <c r="Q265" i="11"/>
  <c r="I265" i="11"/>
  <c r="X264" i="11"/>
  <c r="V264" i="11"/>
  <c r="T264" i="11"/>
  <c r="R264" i="11"/>
  <c r="Q264" i="11"/>
  <c r="I264" i="11"/>
  <c r="X263" i="11"/>
  <c r="V263" i="11"/>
  <c r="T263" i="11"/>
  <c r="R263" i="11"/>
  <c r="Q263" i="11"/>
  <c r="I263" i="11"/>
  <c r="X262" i="11"/>
  <c r="V262" i="11"/>
  <c r="T262" i="11"/>
  <c r="R262" i="11"/>
  <c r="Q262" i="11"/>
  <c r="I262" i="11"/>
  <c r="X261" i="11"/>
  <c r="V261" i="11"/>
  <c r="T261" i="11"/>
  <c r="R261" i="11"/>
  <c r="Q261" i="11"/>
  <c r="I261" i="11"/>
  <c r="X260" i="11"/>
  <c r="V260" i="11"/>
  <c r="T260" i="11"/>
  <c r="R260" i="11"/>
  <c r="Q260" i="11"/>
  <c r="I260" i="11"/>
  <c r="X259" i="11"/>
  <c r="V259" i="11"/>
  <c r="T259" i="11"/>
  <c r="R259" i="11"/>
  <c r="Q259" i="11"/>
  <c r="I259" i="11"/>
  <c r="X258" i="11"/>
  <c r="V258" i="11"/>
  <c r="T258" i="11"/>
  <c r="R258" i="11"/>
  <c r="Q258" i="11"/>
  <c r="I258" i="11"/>
  <c r="X257" i="11"/>
  <c r="V257" i="11"/>
  <c r="T257" i="11"/>
  <c r="R257" i="11"/>
  <c r="Q257" i="11"/>
  <c r="I257" i="11"/>
  <c r="X256" i="11"/>
  <c r="V256" i="11"/>
  <c r="T256" i="11"/>
  <c r="R256" i="11"/>
  <c r="Q256" i="11"/>
  <c r="I256" i="11"/>
  <c r="X255" i="11"/>
  <c r="V255" i="11"/>
  <c r="T255" i="11"/>
  <c r="R255" i="11"/>
  <c r="Q255" i="11"/>
  <c r="I255" i="11"/>
  <c r="X254" i="11"/>
  <c r="V254" i="11"/>
  <c r="T254" i="11"/>
  <c r="R254" i="11"/>
  <c r="Q254" i="11"/>
  <c r="I254" i="11"/>
  <c r="X253" i="11"/>
  <c r="V253" i="11"/>
  <c r="T253" i="11"/>
  <c r="R253" i="11"/>
  <c r="Q253" i="11"/>
  <c r="I253" i="11"/>
  <c r="X252" i="11"/>
  <c r="V252" i="11"/>
  <c r="T252" i="11"/>
  <c r="R252" i="11"/>
  <c r="Q252" i="11"/>
  <c r="I252" i="11"/>
  <c r="X251" i="11"/>
  <c r="V251" i="11"/>
  <c r="T251" i="11"/>
  <c r="R251" i="11"/>
  <c r="Q251" i="11"/>
  <c r="I251" i="11"/>
  <c r="X250" i="11"/>
  <c r="V250" i="11"/>
  <c r="T250" i="11"/>
  <c r="R250" i="11"/>
  <c r="Q250" i="11"/>
  <c r="I250" i="11"/>
  <c r="X249" i="11"/>
  <c r="V249" i="11"/>
  <c r="T249" i="11"/>
  <c r="R249" i="11"/>
  <c r="Q249" i="11"/>
  <c r="I249" i="11"/>
  <c r="X248" i="11"/>
  <c r="V248" i="11"/>
  <c r="T248" i="11"/>
  <c r="R248" i="11"/>
  <c r="Q248" i="11"/>
  <c r="I248" i="11"/>
  <c r="X247" i="11"/>
  <c r="V247" i="11"/>
  <c r="T247" i="11"/>
  <c r="R247" i="11"/>
  <c r="Q247" i="11"/>
  <c r="I247" i="11"/>
  <c r="X246" i="11"/>
  <c r="V246" i="11"/>
  <c r="T246" i="11"/>
  <c r="R246" i="11"/>
  <c r="Q246" i="11"/>
  <c r="I246" i="11"/>
  <c r="X245" i="11"/>
  <c r="V245" i="11"/>
  <c r="T245" i="11"/>
  <c r="R245" i="11"/>
  <c r="Q245" i="11"/>
  <c r="I245" i="11"/>
  <c r="X244" i="11"/>
  <c r="V244" i="11"/>
  <c r="T244" i="11"/>
  <c r="R244" i="11"/>
  <c r="Q244" i="11"/>
  <c r="I244" i="11"/>
  <c r="X243" i="11"/>
  <c r="V243" i="11"/>
  <c r="T243" i="11"/>
  <c r="R243" i="11"/>
  <c r="Q243" i="11"/>
  <c r="I243" i="11"/>
  <c r="X242" i="11"/>
  <c r="V242" i="11"/>
  <c r="T242" i="11"/>
  <c r="R242" i="11"/>
  <c r="Q242" i="11"/>
  <c r="I242" i="11"/>
  <c r="X241" i="11"/>
  <c r="V241" i="11"/>
  <c r="T241" i="11"/>
  <c r="R241" i="11"/>
  <c r="Q241" i="11"/>
  <c r="I241" i="11"/>
  <c r="X240" i="11"/>
  <c r="V240" i="11"/>
  <c r="T240" i="11"/>
  <c r="R240" i="11"/>
  <c r="Q240" i="11"/>
  <c r="I240" i="11"/>
  <c r="X239" i="11"/>
  <c r="V239" i="11"/>
  <c r="T239" i="11"/>
  <c r="R239" i="11"/>
  <c r="Q239" i="11"/>
  <c r="I239" i="11"/>
  <c r="X238" i="11"/>
  <c r="V238" i="11"/>
  <c r="T238" i="11"/>
  <c r="R238" i="11"/>
  <c r="Q238" i="11"/>
  <c r="I238" i="11"/>
  <c r="X237" i="11"/>
  <c r="V237" i="11"/>
  <c r="T237" i="11"/>
  <c r="R237" i="11"/>
  <c r="Q237" i="11"/>
  <c r="I237" i="11"/>
  <c r="X236" i="11"/>
  <c r="V236" i="11"/>
  <c r="T236" i="11"/>
  <c r="R236" i="11"/>
  <c r="Q236" i="11"/>
  <c r="I236" i="11"/>
  <c r="X235" i="11"/>
  <c r="V235" i="11"/>
  <c r="T235" i="11"/>
  <c r="R235" i="11"/>
  <c r="Q235" i="11"/>
  <c r="I235" i="11"/>
  <c r="X234" i="11"/>
  <c r="V234" i="11"/>
  <c r="T234" i="11"/>
  <c r="R234" i="11"/>
  <c r="Q234" i="11"/>
  <c r="I234" i="11"/>
  <c r="X233" i="11"/>
  <c r="V233" i="11"/>
  <c r="T233" i="11"/>
  <c r="R233" i="11"/>
  <c r="Q233" i="11"/>
  <c r="I233" i="11"/>
  <c r="X232" i="11"/>
  <c r="V232" i="11"/>
  <c r="T232" i="11"/>
  <c r="R232" i="11"/>
  <c r="Q232" i="11"/>
  <c r="I232" i="11"/>
  <c r="X231" i="11"/>
  <c r="V231" i="11"/>
  <c r="T231" i="11"/>
  <c r="R231" i="11"/>
  <c r="Q231" i="11"/>
  <c r="I231" i="11"/>
  <c r="X230" i="11"/>
  <c r="V230" i="11"/>
  <c r="T230" i="11"/>
  <c r="R230" i="11"/>
  <c r="Q230" i="11"/>
  <c r="I230" i="11"/>
  <c r="X229" i="11"/>
  <c r="V229" i="11"/>
  <c r="T229" i="11"/>
  <c r="R229" i="11"/>
  <c r="Q229" i="11"/>
  <c r="I229" i="11"/>
  <c r="X228" i="11"/>
  <c r="V228" i="11"/>
  <c r="T228" i="11"/>
  <c r="R228" i="11"/>
  <c r="Q228" i="11"/>
  <c r="I228" i="11"/>
  <c r="X227" i="11"/>
  <c r="V227" i="11"/>
  <c r="T227" i="11"/>
  <c r="R227" i="11"/>
  <c r="Q227" i="11"/>
  <c r="I227" i="11"/>
  <c r="X226" i="11"/>
  <c r="V226" i="11"/>
  <c r="T226" i="11"/>
  <c r="R226" i="11"/>
  <c r="Q226" i="11"/>
  <c r="I226" i="11"/>
  <c r="X225" i="11"/>
  <c r="V225" i="11"/>
  <c r="T225" i="11"/>
  <c r="R225" i="11"/>
  <c r="Q225" i="11"/>
  <c r="I225" i="11"/>
  <c r="X224" i="11"/>
  <c r="V224" i="11"/>
  <c r="T224" i="11"/>
  <c r="R224" i="11"/>
  <c r="Q224" i="11"/>
  <c r="I224" i="11"/>
  <c r="X223" i="11"/>
  <c r="V223" i="11"/>
  <c r="T223" i="11"/>
  <c r="R223" i="11"/>
  <c r="Q223" i="11"/>
  <c r="I223" i="11"/>
  <c r="X222" i="11"/>
  <c r="V222" i="11"/>
  <c r="T222" i="11"/>
  <c r="R222" i="11"/>
  <c r="Q222" i="11"/>
  <c r="I222" i="11"/>
  <c r="X221" i="11"/>
  <c r="V221" i="11"/>
  <c r="T221" i="11"/>
  <c r="R221" i="11"/>
  <c r="Q221" i="11"/>
  <c r="I221" i="11"/>
  <c r="X220" i="11"/>
  <c r="V220" i="11"/>
  <c r="T220" i="11"/>
  <c r="R220" i="11"/>
  <c r="Q220" i="11"/>
  <c r="I220" i="11"/>
  <c r="X219" i="11"/>
  <c r="V219" i="11"/>
  <c r="T219" i="11"/>
  <c r="R219" i="11"/>
  <c r="Q219" i="11"/>
  <c r="I219" i="11"/>
  <c r="X218" i="11"/>
  <c r="V218" i="11"/>
  <c r="T218" i="11"/>
  <c r="R218" i="11"/>
  <c r="Q218" i="11"/>
  <c r="I218" i="11"/>
  <c r="X217" i="11"/>
  <c r="V217" i="11"/>
  <c r="T217" i="11"/>
  <c r="R217" i="11"/>
  <c r="Q217" i="11"/>
  <c r="I217" i="11"/>
  <c r="X216" i="11"/>
  <c r="V216" i="11"/>
  <c r="T216" i="11"/>
  <c r="R216" i="11"/>
  <c r="Q216" i="11"/>
  <c r="I216" i="11"/>
  <c r="X215" i="11"/>
  <c r="V215" i="11"/>
  <c r="T215" i="11"/>
  <c r="R215" i="11"/>
  <c r="Q215" i="11"/>
  <c r="I215" i="11"/>
  <c r="X214" i="11"/>
  <c r="V214" i="11"/>
  <c r="T214" i="11"/>
  <c r="R214" i="11"/>
  <c r="Q214" i="11"/>
  <c r="I214" i="11"/>
  <c r="X213" i="11"/>
  <c r="V213" i="11"/>
  <c r="T213" i="11"/>
  <c r="R213" i="11"/>
  <c r="Q213" i="11"/>
  <c r="I213" i="11"/>
  <c r="X212" i="11"/>
  <c r="V212" i="11"/>
  <c r="T212" i="11"/>
  <c r="R212" i="11"/>
  <c r="Q212" i="11"/>
  <c r="I212" i="11"/>
  <c r="X211" i="11"/>
  <c r="V211" i="11"/>
  <c r="T211" i="11"/>
  <c r="R211" i="11"/>
  <c r="Q211" i="11"/>
  <c r="I211" i="11"/>
  <c r="X210" i="11"/>
  <c r="V210" i="11"/>
  <c r="T210" i="11"/>
  <c r="R210" i="11"/>
  <c r="Q210" i="11"/>
  <c r="I210" i="11"/>
  <c r="X209" i="11"/>
  <c r="V209" i="11"/>
  <c r="T209" i="11"/>
  <c r="R209" i="11"/>
  <c r="Q209" i="11"/>
  <c r="I209" i="11"/>
  <c r="X208" i="11"/>
  <c r="V208" i="11"/>
  <c r="T208" i="11"/>
  <c r="R208" i="11"/>
  <c r="Q208" i="11"/>
  <c r="I208" i="11"/>
  <c r="X207" i="11"/>
  <c r="V207" i="11"/>
  <c r="T207" i="11"/>
  <c r="R207" i="11"/>
  <c r="Q207" i="11"/>
  <c r="I207" i="11"/>
  <c r="X206" i="11"/>
  <c r="V206" i="11"/>
  <c r="T206" i="11"/>
  <c r="R206" i="11"/>
  <c r="Q206" i="11"/>
  <c r="I206" i="11"/>
  <c r="X205" i="11"/>
  <c r="V205" i="11"/>
  <c r="T205" i="11"/>
  <c r="R205" i="11"/>
  <c r="Q205" i="11"/>
  <c r="I205" i="11"/>
  <c r="X204" i="11"/>
  <c r="V204" i="11"/>
  <c r="T204" i="11"/>
  <c r="R204" i="11"/>
  <c r="Q204" i="11"/>
  <c r="I204" i="11"/>
  <c r="X203" i="11"/>
  <c r="V203" i="11"/>
  <c r="T203" i="11"/>
  <c r="R203" i="11"/>
  <c r="Q203" i="11"/>
  <c r="I203" i="11"/>
  <c r="X202" i="11"/>
  <c r="V202" i="11"/>
  <c r="T202" i="11"/>
  <c r="R202" i="11"/>
  <c r="Q202" i="11"/>
  <c r="I202" i="11"/>
  <c r="X201" i="11"/>
  <c r="V201" i="11"/>
  <c r="T201" i="11"/>
  <c r="R201" i="11"/>
  <c r="Q201" i="11"/>
  <c r="I201" i="11"/>
  <c r="X200" i="11"/>
  <c r="V200" i="11"/>
  <c r="T200" i="11"/>
  <c r="R200" i="11"/>
  <c r="Q200" i="11"/>
  <c r="I200" i="11"/>
  <c r="X199" i="11"/>
  <c r="V199" i="11"/>
  <c r="T199" i="11"/>
  <c r="R199" i="11"/>
  <c r="Q199" i="11"/>
  <c r="I199" i="11"/>
  <c r="X198" i="11"/>
  <c r="V198" i="11"/>
  <c r="T198" i="11"/>
  <c r="R198" i="11"/>
  <c r="Q198" i="11"/>
  <c r="I198" i="11"/>
  <c r="X197" i="11"/>
  <c r="V197" i="11"/>
  <c r="T197" i="11"/>
  <c r="R197" i="11"/>
  <c r="Q197" i="11"/>
  <c r="I197" i="11"/>
  <c r="X196" i="11"/>
  <c r="V196" i="11"/>
  <c r="T196" i="11"/>
  <c r="R196" i="11"/>
  <c r="Q196" i="11"/>
  <c r="I196" i="11"/>
  <c r="X195" i="11"/>
  <c r="V195" i="11"/>
  <c r="T195" i="11"/>
  <c r="R195" i="11"/>
  <c r="Q195" i="11"/>
  <c r="I195" i="11"/>
  <c r="X194" i="11"/>
  <c r="V194" i="11"/>
  <c r="T194" i="11"/>
  <c r="R194" i="11"/>
  <c r="Q194" i="11"/>
  <c r="I194" i="11"/>
  <c r="X193" i="11"/>
  <c r="V193" i="11"/>
  <c r="T193" i="11"/>
  <c r="R193" i="11"/>
  <c r="Q193" i="11"/>
  <c r="I193" i="11"/>
  <c r="X192" i="11"/>
  <c r="V192" i="11"/>
  <c r="T192" i="11"/>
  <c r="R192" i="11"/>
  <c r="Q192" i="11"/>
  <c r="I192" i="11"/>
  <c r="X191" i="11"/>
  <c r="V191" i="11"/>
  <c r="T191" i="11"/>
  <c r="R191" i="11"/>
  <c r="Q191" i="11"/>
  <c r="I191" i="11"/>
  <c r="X190" i="11"/>
  <c r="V190" i="11"/>
  <c r="T190" i="11"/>
  <c r="R190" i="11"/>
  <c r="Q190" i="11"/>
  <c r="I190" i="11"/>
  <c r="X189" i="11"/>
  <c r="V189" i="11"/>
  <c r="T189" i="11"/>
  <c r="R189" i="11"/>
  <c r="Q189" i="11"/>
  <c r="I189" i="11"/>
  <c r="X188" i="11"/>
  <c r="V188" i="11"/>
  <c r="T188" i="11"/>
  <c r="R188" i="11"/>
  <c r="Q188" i="11"/>
  <c r="I188" i="11"/>
  <c r="X187" i="11"/>
  <c r="V187" i="11"/>
  <c r="T187" i="11"/>
  <c r="R187" i="11"/>
  <c r="Q187" i="11"/>
  <c r="I187" i="11"/>
  <c r="X186" i="11"/>
  <c r="V186" i="11"/>
  <c r="T186" i="11"/>
  <c r="R186" i="11"/>
  <c r="Q186" i="11"/>
  <c r="I186" i="11"/>
  <c r="X185" i="11"/>
  <c r="V185" i="11"/>
  <c r="T185" i="11"/>
  <c r="R185" i="11"/>
  <c r="Q185" i="11"/>
  <c r="I185" i="11"/>
  <c r="X184" i="11"/>
  <c r="V184" i="11"/>
  <c r="T184" i="11"/>
  <c r="R184" i="11"/>
  <c r="Q184" i="11"/>
  <c r="I184" i="11"/>
  <c r="X183" i="11"/>
  <c r="V183" i="11"/>
  <c r="T183" i="11"/>
  <c r="R183" i="11"/>
  <c r="Q183" i="11"/>
  <c r="I183" i="11"/>
  <c r="X182" i="11"/>
  <c r="V182" i="11"/>
  <c r="T182" i="11"/>
  <c r="R182" i="11"/>
  <c r="Q182" i="11"/>
  <c r="I182" i="11"/>
  <c r="X181" i="11"/>
  <c r="V181" i="11"/>
  <c r="T181" i="11"/>
  <c r="R181" i="11"/>
  <c r="Q181" i="11"/>
  <c r="I181" i="11"/>
  <c r="X180" i="11"/>
  <c r="V180" i="11"/>
  <c r="T180" i="11"/>
  <c r="R180" i="11"/>
  <c r="Q180" i="11"/>
  <c r="I180" i="11"/>
  <c r="X179" i="11"/>
  <c r="V179" i="11"/>
  <c r="T179" i="11"/>
  <c r="R179" i="11"/>
  <c r="Q179" i="11"/>
  <c r="I179" i="11"/>
  <c r="X178" i="11"/>
  <c r="V178" i="11"/>
  <c r="T178" i="11"/>
  <c r="R178" i="11"/>
  <c r="Q178" i="11"/>
  <c r="I178" i="11"/>
  <c r="X177" i="11"/>
  <c r="V177" i="11"/>
  <c r="T177" i="11"/>
  <c r="R177" i="11"/>
  <c r="Q177" i="11"/>
  <c r="I177" i="11"/>
  <c r="X176" i="11"/>
  <c r="V176" i="11"/>
  <c r="T176" i="11"/>
  <c r="R176" i="11"/>
  <c r="Q176" i="11"/>
  <c r="I176" i="11"/>
  <c r="X175" i="11"/>
  <c r="V175" i="11"/>
  <c r="T175" i="11"/>
  <c r="R175" i="11"/>
  <c r="Q175" i="11"/>
  <c r="I175" i="11"/>
  <c r="X174" i="11"/>
  <c r="V174" i="11"/>
  <c r="T174" i="11"/>
  <c r="R174" i="11"/>
  <c r="Q174" i="11"/>
  <c r="I174" i="11"/>
  <c r="X173" i="11"/>
  <c r="V173" i="11"/>
  <c r="T173" i="11"/>
  <c r="R173" i="11"/>
  <c r="Q173" i="11"/>
  <c r="I173" i="11"/>
  <c r="X172" i="11"/>
  <c r="V172" i="11"/>
  <c r="T172" i="11"/>
  <c r="R172" i="11"/>
  <c r="Q172" i="11"/>
  <c r="I172" i="11"/>
  <c r="X171" i="11"/>
  <c r="V171" i="11"/>
  <c r="T171" i="11"/>
  <c r="R171" i="11"/>
  <c r="Q171" i="11"/>
  <c r="I171" i="11"/>
  <c r="X170" i="11"/>
  <c r="V170" i="11"/>
  <c r="T170" i="11"/>
  <c r="R170" i="11"/>
  <c r="Q170" i="11"/>
  <c r="I170" i="11"/>
  <c r="X169" i="11"/>
  <c r="V169" i="11"/>
  <c r="T169" i="11"/>
  <c r="R169" i="11"/>
  <c r="Q169" i="11"/>
  <c r="I169" i="11"/>
  <c r="X168" i="11"/>
  <c r="V168" i="11"/>
  <c r="T168" i="11"/>
  <c r="R168" i="11"/>
  <c r="Q168" i="11"/>
  <c r="I168" i="11"/>
  <c r="X167" i="11"/>
  <c r="V167" i="11"/>
  <c r="T167" i="11"/>
  <c r="R167" i="11"/>
  <c r="Q167" i="11"/>
  <c r="I167" i="11"/>
  <c r="X166" i="11"/>
  <c r="V166" i="11"/>
  <c r="T166" i="11"/>
  <c r="R166" i="11"/>
  <c r="Q166" i="11"/>
  <c r="I166" i="11"/>
  <c r="X165" i="11"/>
  <c r="V165" i="11"/>
  <c r="T165" i="11"/>
  <c r="R165" i="11"/>
  <c r="Q165" i="11"/>
  <c r="I165" i="11"/>
  <c r="X164" i="11"/>
  <c r="V164" i="11"/>
  <c r="T164" i="11"/>
  <c r="R164" i="11"/>
  <c r="Q164" i="11"/>
  <c r="I164" i="11"/>
  <c r="X163" i="11"/>
  <c r="V163" i="11"/>
  <c r="T163" i="11"/>
  <c r="R163" i="11"/>
  <c r="Q163" i="11"/>
  <c r="I163" i="11"/>
  <c r="X162" i="11"/>
  <c r="V162" i="11"/>
  <c r="T162" i="11"/>
  <c r="R162" i="11"/>
  <c r="Q162" i="11"/>
  <c r="I162" i="11"/>
  <c r="X161" i="11"/>
  <c r="V161" i="11"/>
  <c r="T161" i="11"/>
  <c r="R161" i="11"/>
  <c r="Q161" i="11"/>
  <c r="I161" i="11"/>
  <c r="X160" i="11"/>
  <c r="V160" i="11"/>
  <c r="T160" i="11"/>
  <c r="R160" i="11"/>
  <c r="Q160" i="11"/>
  <c r="I160" i="11"/>
  <c r="X159" i="11"/>
  <c r="V159" i="11"/>
  <c r="T159" i="11"/>
  <c r="R159" i="11"/>
  <c r="Q159" i="11"/>
  <c r="I159" i="11"/>
  <c r="X158" i="11"/>
  <c r="V158" i="11"/>
  <c r="T158" i="11"/>
  <c r="R158" i="11"/>
  <c r="Q158" i="11"/>
  <c r="I158" i="11"/>
  <c r="X157" i="11"/>
  <c r="V157" i="11"/>
  <c r="T157" i="11"/>
  <c r="R157" i="11"/>
  <c r="Q157" i="11"/>
  <c r="I157" i="11"/>
  <c r="X156" i="11"/>
  <c r="V156" i="11"/>
  <c r="T156" i="11"/>
  <c r="R156" i="11"/>
  <c r="Q156" i="11"/>
  <c r="I156" i="11"/>
  <c r="X155" i="11"/>
  <c r="V155" i="11"/>
  <c r="T155" i="11"/>
  <c r="R155" i="11"/>
  <c r="Q155" i="11"/>
  <c r="I155" i="11"/>
  <c r="X154" i="11"/>
  <c r="V154" i="11"/>
  <c r="T154" i="11"/>
  <c r="R154" i="11"/>
  <c r="Q154" i="11"/>
  <c r="I154" i="11"/>
  <c r="X153" i="11"/>
  <c r="V153" i="11"/>
  <c r="T153" i="11"/>
  <c r="R153" i="11"/>
  <c r="Q153" i="11"/>
  <c r="I153" i="11"/>
  <c r="X152" i="11"/>
  <c r="V152" i="11"/>
  <c r="T152" i="11"/>
  <c r="R152" i="11"/>
  <c r="Q152" i="11"/>
  <c r="I152" i="11"/>
  <c r="X151" i="11"/>
  <c r="V151" i="11"/>
  <c r="T151" i="11"/>
  <c r="R151" i="11"/>
  <c r="Q151" i="11"/>
  <c r="I151" i="11"/>
  <c r="X150" i="11"/>
  <c r="V150" i="11"/>
  <c r="T150" i="11"/>
  <c r="R150" i="11"/>
  <c r="Q150" i="11"/>
  <c r="I150" i="11"/>
  <c r="X149" i="11"/>
  <c r="V149" i="11"/>
  <c r="T149" i="11"/>
  <c r="R149" i="11"/>
  <c r="Q149" i="11"/>
  <c r="I149" i="11"/>
  <c r="X148" i="11"/>
  <c r="V148" i="11"/>
  <c r="T148" i="11"/>
  <c r="R148" i="11"/>
  <c r="Q148" i="11"/>
  <c r="I148" i="11"/>
  <c r="X147" i="11"/>
  <c r="V147" i="11"/>
  <c r="T147" i="11"/>
  <c r="R147" i="11"/>
  <c r="Q147" i="11"/>
  <c r="I147" i="11"/>
  <c r="X146" i="11"/>
  <c r="V146" i="11"/>
  <c r="T146" i="11"/>
  <c r="R146" i="11"/>
  <c r="Q146" i="11"/>
  <c r="I146" i="11"/>
  <c r="X145" i="11"/>
  <c r="V145" i="11"/>
  <c r="T145" i="11"/>
  <c r="R145" i="11"/>
  <c r="Q145" i="11"/>
  <c r="I145" i="11"/>
  <c r="X144" i="11"/>
  <c r="V144" i="11"/>
  <c r="T144" i="11"/>
  <c r="R144" i="11"/>
  <c r="Q144" i="11"/>
  <c r="I144" i="11"/>
  <c r="X143" i="11"/>
  <c r="V143" i="11"/>
  <c r="T143" i="11"/>
  <c r="R143" i="11"/>
  <c r="Q143" i="11"/>
  <c r="I143" i="11"/>
  <c r="X142" i="11"/>
  <c r="V142" i="11"/>
  <c r="T142" i="11"/>
  <c r="R142" i="11"/>
  <c r="Q142" i="11"/>
  <c r="I142" i="11"/>
  <c r="X141" i="11"/>
  <c r="V141" i="11"/>
  <c r="T141" i="11"/>
  <c r="R141" i="11"/>
  <c r="Q141" i="11"/>
  <c r="I141" i="11"/>
  <c r="X140" i="11"/>
  <c r="V140" i="11"/>
  <c r="T140" i="11"/>
  <c r="R140" i="11"/>
  <c r="Q140" i="11"/>
  <c r="I140" i="11"/>
  <c r="X139" i="11"/>
  <c r="V139" i="11"/>
  <c r="T139" i="11"/>
  <c r="R139" i="11"/>
  <c r="Q139" i="11"/>
  <c r="I139" i="11"/>
  <c r="X138" i="11"/>
  <c r="V138" i="11"/>
  <c r="T138" i="11"/>
  <c r="R138" i="11"/>
  <c r="Q138" i="11"/>
  <c r="I138" i="11"/>
  <c r="X137" i="11"/>
  <c r="V137" i="11"/>
  <c r="T137" i="11"/>
  <c r="R137" i="11"/>
  <c r="Q137" i="11"/>
  <c r="I137" i="11"/>
  <c r="X136" i="11"/>
  <c r="V136" i="11"/>
  <c r="T136" i="11"/>
  <c r="R136" i="11"/>
  <c r="Q136" i="11"/>
  <c r="I136" i="11"/>
  <c r="X135" i="11"/>
  <c r="V135" i="11"/>
  <c r="T135" i="11"/>
  <c r="R135" i="11"/>
  <c r="Q135" i="11"/>
  <c r="I135" i="11"/>
  <c r="X134" i="11"/>
  <c r="V134" i="11"/>
  <c r="T134" i="11"/>
  <c r="R134" i="11"/>
  <c r="Q134" i="11"/>
  <c r="I134" i="11"/>
  <c r="X133" i="11"/>
  <c r="V133" i="11"/>
  <c r="T133" i="11"/>
  <c r="R133" i="11"/>
  <c r="Q133" i="11"/>
  <c r="I133" i="11"/>
  <c r="X132" i="11"/>
  <c r="V132" i="11"/>
  <c r="T132" i="11"/>
  <c r="R132" i="11"/>
  <c r="Q132" i="11"/>
  <c r="I132" i="11"/>
  <c r="X131" i="11"/>
  <c r="V131" i="11"/>
  <c r="T131" i="11"/>
  <c r="R131" i="11"/>
  <c r="Q131" i="11"/>
  <c r="I131" i="11"/>
  <c r="X130" i="11"/>
  <c r="V130" i="11"/>
  <c r="T130" i="11"/>
  <c r="R130" i="11"/>
  <c r="Q130" i="11"/>
  <c r="I130" i="11"/>
  <c r="X129" i="11"/>
  <c r="V129" i="11"/>
  <c r="T129" i="11"/>
  <c r="R129" i="11"/>
  <c r="Q129" i="11"/>
  <c r="I129" i="11"/>
  <c r="X128" i="11"/>
  <c r="V128" i="11"/>
  <c r="T128" i="11"/>
  <c r="R128" i="11"/>
  <c r="Q128" i="11"/>
  <c r="I128" i="11"/>
  <c r="X127" i="11"/>
  <c r="V127" i="11"/>
  <c r="T127" i="11"/>
  <c r="R127" i="11"/>
  <c r="Q127" i="11"/>
  <c r="I127" i="11"/>
  <c r="X126" i="11"/>
  <c r="V126" i="11"/>
  <c r="T126" i="11"/>
  <c r="R126" i="11"/>
  <c r="Q126" i="11"/>
  <c r="I126" i="11"/>
  <c r="X125" i="11"/>
  <c r="V125" i="11"/>
  <c r="T125" i="11"/>
  <c r="R125" i="11"/>
  <c r="Q125" i="11"/>
  <c r="I125" i="11"/>
  <c r="X124" i="11"/>
  <c r="V124" i="11"/>
  <c r="T124" i="11"/>
  <c r="R124" i="11"/>
  <c r="Q124" i="11"/>
  <c r="I124" i="11"/>
  <c r="X123" i="11"/>
  <c r="V123" i="11"/>
  <c r="T123" i="11"/>
  <c r="R123" i="11"/>
  <c r="Q123" i="11"/>
  <c r="I123" i="11"/>
  <c r="X122" i="11"/>
  <c r="V122" i="11"/>
  <c r="T122" i="11"/>
  <c r="R122" i="11"/>
  <c r="Q122" i="11"/>
  <c r="I122" i="11"/>
  <c r="X121" i="11"/>
  <c r="V121" i="11"/>
  <c r="T121" i="11"/>
  <c r="R121" i="11"/>
  <c r="Q121" i="11"/>
  <c r="I121" i="11"/>
  <c r="X120" i="11"/>
  <c r="V120" i="11"/>
  <c r="T120" i="11"/>
  <c r="R120" i="11"/>
  <c r="Q120" i="11"/>
  <c r="I120" i="11"/>
  <c r="X119" i="11"/>
  <c r="V119" i="11"/>
  <c r="T119" i="11"/>
  <c r="R119" i="11"/>
  <c r="Q119" i="11"/>
  <c r="I119" i="11"/>
  <c r="X118" i="11"/>
  <c r="V118" i="11"/>
  <c r="T118" i="11"/>
  <c r="R118" i="11"/>
  <c r="Q118" i="11"/>
  <c r="I118" i="11"/>
  <c r="X117" i="11"/>
  <c r="V117" i="11"/>
  <c r="T117" i="11"/>
  <c r="R117" i="11"/>
  <c r="Q117" i="11"/>
  <c r="I117" i="11"/>
  <c r="X116" i="11"/>
  <c r="V116" i="11"/>
  <c r="T116" i="11"/>
  <c r="R116" i="11"/>
  <c r="Q116" i="11"/>
  <c r="I116" i="11"/>
  <c r="X115" i="11"/>
  <c r="V115" i="11"/>
  <c r="T115" i="11"/>
  <c r="R115" i="11"/>
  <c r="Q115" i="11"/>
  <c r="I115" i="11"/>
  <c r="X114" i="11"/>
  <c r="V114" i="11"/>
  <c r="T114" i="11"/>
  <c r="R114" i="11"/>
  <c r="Q114" i="11"/>
  <c r="I114" i="11"/>
  <c r="X113" i="11"/>
  <c r="V113" i="11"/>
  <c r="T113" i="11"/>
  <c r="R113" i="11"/>
  <c r="Q113" i="11"/>
  <c r="I113" i="11"/>
  <c r="X112" i="11"/>
  <c r="V112" i="11"/>
  <c r="T112" i="11"/>
  <c r="R112" i="11"/>
  <c r="Q112" i="11"/>
  <c r="I112" i="11"/>
  <c r="X111" i="11"/>
  <c r="V111" i="11"/>
  <c r="T111" i="11"/>
  <c r="R111" i="11"/>
  <c r="Q111" i="11"/>
  <c r="I111" i="11"/>
  <c r="X110" i="11"/>
  <c r="V110" i="11"/>
  <c r="T110" i="11"/>
  <c r="R110" i="11"/>
  <c r="Q110" i="11"/>
  <c r="I110" i="11"/>
  <c r="X109" i="11"/>
  <c r="V109" i="11"/>
  <c r="T109" i="11"/>
  <c r="R109" i="11"/>
  <c r="Q109" i="11"/>
  <c r="I109" i="11"/>
  <c r="X108" i="11"/>
  <c r="V108" i="11"/>
  <c r="T108" i="11"/>
  <c r="R108" i="11"/>
  <c r="Q108" i="11"/>
  <c r="I108" i="11"/>
  <c r="X107" i="11"/>
  <c r="V107" i="11"/>
  <c r="T107" i="11"/>
  <c r="R107" i="11"/>
  <c r="Q107" i="11"/>
  <c r="I107" i="11"/>
  <c r="X106" i="11"/>
  <c r="V106" i="11"/>
  <c r="T106" i="11"/>
  <c r="R106" i="11"/>
  <c r="Q106" i="11"/>
  <c r="I106" i="11"/>
  <c r="X105" i="11"/>
  <c r="V105" i="11"/>
  <c r="T105" i="11"/>
  <c r="R105" i="11"/>
  <c r="Q105" i="11"/>
  <c r="I105" i="11"/>
  <c r="X104" i="11"/>
  <c r="V104" i="11"/>
  <c r="T104" i="11"/>
  <c r="R104" i="11"/>
  <c r="Q104" i="11"/>
  <c r="I104" i="11"/>
  <c r="X103" i="11"/>
  <c r="V103" i="11"/>
  <c r="T103" i="11"/>
  <c r="R103" i="11"/>
  <c r="Q103" i="11"/>
  <c r="I103" i="11"/>
  <c r="X102" i="11"/>
  <c r="V102" i="11"/>
  <c r="T102" i="11"/>
  <c r="R102" i="11"/>
  <c r="Q102" i="11"/>
  <c r="I102" i="11"/>
  <c r="X101" i="11"/>
  <c r="V101" i="11"/>
  <c r="T101" i="11"/>
  <c r="R101" i="11"/>
  <c r="Q101" i="11"/>
  <c r="I101" i="11"/>
  <c r="X100" i="11"/>
  <c r="V100" i="11"/>
  <c r="T100" i="11"/>
  <c r="R100" i="11"/>
  <c r="Q100" i="11"/>
  <c r="I100" i="11"/>
  <c r="X99" i="11"/>
  <c r="V99" i="11"/>
  <c r="T99" i="11"/>
  <c r="R99" i="11"/>
  <c r="Q99" i="11"/>
  <c r="I99" i="11"/>
  <c r="X98" i="11"/>
  <c r="V98" i="11"/>
  <c r="T98" i="11"/>
  <c r="R98" i="11"/>
  <c r="Q98" i="11"/>
  <c r="I98" i="11"/>
  <c r="X97" i="11"/>
  <c r="V97" i="11"/>
  <c r="T97" i="11"/>
  <c r="R97" i="11"/>
  <c r="Q97" i="11"/>
  <c r="I97" i="11"/>
  <c r="X96" i="11"/>
  <c r="V96" i="11"/>
  <c r="T96" i="11"/>
  <c r="R96" i="11"/>
  <c r="Q96" i="11"/>
  <c r="I96" i="11"/>
  <c r="X95" i="11"/>
  <c r="V95" i="11"/>
  <c r="T95" i="11"/>
  <c r="R95" i="11"/>
  <c r="Q95" i="11"/>
  <c r="I95" i="11"/>
  <c r="X94" i="11"/>
  <c r="V94" i="11"/>
  <c r="T94" i="11"/>
  <c r="R94" i="11"/>
  <c r="Q94" i="11"/>
  <c r="I94" i="11"/>
  <c r="X93" i="11"/>
  <c r="V93" i="11"/>
  <c r="T93" i="11"/>
  <c r="R93" i="11"/>
  <c r="Q93" i="11"/>
  <c r="I93" i="11"/>
  <c r="X92" i="11"/>
  <c r="V92" i="11"/>
  <c r="T92" i="11"/>
  <c r="R92" i="11"/>
  <c r="Q92" i="11"/>
  <c r="I92" i="11"/>
  <c r="X91" i="11"/>
  <c r="V91" i="11"/>
  <c r="T91" i="11"/>
  <c r="R91" i="11"/>
  <c r="Q91" i="11"/>
  <c r="I91" i="11"/>
  <c r="X90" i="11"/>
  <c r="V90" i="11"/>
  <c r="T90" i="11"/>
  <c r="R90" i="11"/>
  <c r="Q90" i="11"/>
  <c r="I90" i="11"/>
  <c r="X89" i="11"/>
  <c r="V89" i="11"/>
  <c r="T89" i="11"/>
  <c r="R89" i="11"/>
  <c r="Q89" i="11"/>
  <c r="I89" i="11"/>
  <c r="X88" i="11"/>
  <c r="V88" i="11"/>
  <c r="T88" i="11"/>
  <c r="R88" i="11"/>
  <c r="Q88" i="11"/>
  <c r="I88" i="11"/>
  <c r="X87" i="11"/>
  <c r="V87" i="11"/>
  <c r="T87" i="11"/>
  <c r="R87" i="11"/>
  <c r="Q87" i="11"/>
  <c r="I87" i="11"/>
  <c r="X86" i="11"/>
  <c r="V86" i="11"/>
  <c r="T86" i="11"/>
  <c r="R86" i="11"/>
  <c r="Q86" i="11"/>
  <c r="I86" i="11"/>
  <c r="X85" i="11"/>
  <c r="V85" i="11"/>
  <c r="T85" i="11"/>
  <c r="R85" i="11"/>
  <c r="Q85" i="11"/>
  <c r="I85" i="11"/>
  <c r="X84" i="11"/>
  <c r="V84" i="11"/>
  <c r="T84" i="11"/>
  <c r="R84" i="11"/>
  <c r="Q84" i="11"/>
  <c r="I84" i="11"/>
  <c r="X83" i="11"/>
  <c r="V83" i="11"/>
  <c r="T83" i="11"/>
  <c r="R83" i="11"/>
  <c r="Q83" i="11"/>
  <c r="I83" i="11"/>
  <c r="X82" i="11"/>
  <c r="V82" i="11"/>
  <c r="T82" i="11"/>
  <c r="R82" i="11"/>
  <c r="Q82" i="11"/>
  <c r="I82" i="11"/>
  <c r="X81" i="11"/>
  <c r="V81" i="11"/>
  <c r="T81" i="11"/>
  <c r="R81" i="11"/>
  <c r="Q81" i="11"/>
  <c r="I81" i="11"/>
  <c r="X80" i="11"/>
  <c r="V80" i="11"/>
  <c r="T80" i="11"/>
  <c r="R80" i="11"/>
  <c r="Q80" i="11"/>
  <c r="I80" i="11"/>
  <c r="X79" i="11"/>
  <c r="V79" i="11"/>
  <c r="T79" i="11"/>
  <c r="R79" i="11"/>
  <c r="Q79" i="11"/>
  <c r="I79" i="11"/>
  <c r="X78" i="11"/>
  <c r="V78" i="11"/>
  <c r="T78" i="11"/>
  <c r="R78" i="11"/>
  <c r="Q78" i="11"/>
  <c r="I78" i="11"/>
  <c r="X77" i="11"/>
  <c r="V77" i="11"/>
  <c r="T77" i="11"/>
  <c r="R77" i="11"/>
  <c r="Q77" i="11"/>
  <c r="I77" i="11"/>
  <c r="X76" i="11"/>
  <c r="V76" i="11"/>
  <c r="T76" i="11"/>
  <c r="R76" i="11"/>
  <c r="Q76" i="11"/>
  <c r="I76" i="11"/>
  <c r="X75" i="11"/>
  <c r="V75" i="11"/>
  <c r="T75" i="11"/>
  <c r="R75" i="11"/>
  <c r="Q75" i="11"/>
  <c r="I75" i="11"/>
  <c r="X74" i="11"/>
  <c r="V74" i="11"/>
  <c r="T74" i="11"/>
  <c r="R74" i="11"/>
  <c r="Q74" i="11"/>
  <c r="I74" i="11"/>
  <c r="X73" i="11"/>
  <c r="V73" i="11"/>
  <c r="T73" i="11"/>
  <c r="R73" i="11"/>
  <c r="Q73" i="11"/>
  <c r="I73" i="11"/>
  <c r="X72" i="11"/>
  <c r="V72" i="11"/>
  <c r="T72" i="11"/>
  <c r="R72" i="11"/>
  <c r="Q72" i="11"/>
  <c r="I72" i="11"/>
  <c r="X71" i="11"/>
  <c r="V71" i="11"/>
  <c r="T71" i="11"/>
  <c r="R71" i="11"/>
  <c r="Q71" i="11"/>
  <c r="I71" i="11"/>
  <c r="X70" i="11"/>
  <c r="V70" i="11"/>
  <c r="T70" i="11"/>
  <c r="R70" i="11"/>
  <c r="Q70" i="11"/>
  <c r="I70" i="11"/>
  <c r="X69" i="11"/>
  <c r="V69" i="11"/>
  <c r="T69" i="11"/>
  <c r="R69" i="11"/>
  <c r="Q69" i="11"/>
  <c r="I69" i="11"/>
  <c r="X68" i="11"/>
  <c r="V68" i="11"/>
  <c r="T68" i="11"/>
  <c r="R68" i="11"/>
  <c r="Q68" i="11"/>
  <c r="I68" i="11"/>
  <c r="X67" i="11"/>
  <c r="V67" i="11"/>
  <c r="T67" i="11"/>
  <c r="R67" i="11"/>
  <c r="Q67" i="11"/>
  <c r="I67" i="11"/>
  <c r="X66" i="11"/>
  <c r="V66" i="11"/>
  <c r="T66" i="11"/>
  <c r="R66" i="11"/>
  <c r="Q66" i="11"/>
  <c r="I66" i="11"/>
  <c r="X65" i="11"/>
  <c r="V65" i="11"/>
  <c r="T65" i="11"/>
  <c r="R65" i="11"/>
  <c r="Q65" i="11"/>
  <c r="I65" i="11"/>
  <c r="X64" i="11"/>
  <c r="V64" i="11"/>
  <c r="T64" i="11"/>
  <c r="R64" i="11"/>
  <c r="Q64" i="11"/>
  <c r="I64" i="11"/>
  <c r="X63" i="11"/>
  <c r="V63" i="11"/>
  <c r="T63" i="11"/>
  <c r="R63" i="11"/>
  <c r="Q63" i="11"/>
  <c r="I63" i="11"/>
  <c r="X62" i="11"/>
  <c r="V62" i="11"/>
  <c r="T62" i="11"/>
  <c r="R62" i="11"/>
  <c r="Q62" i="11"/>
  <c r="I62" i="11"/>
  <c r="X61" i="11"/>
  <c r="V61" i="11"/>
  <c r="T61" i="11"/>
  <c r="R61" i="11"/>
  <c r="Q61" i="11"/>
  <c r="I61" i="11"/>
  <c r="X60" i="11"/>
  <c r="V60" i="11"/>
  <c r="T60" i="11"/>
  <c r="R60" i="11"/>
  <c r="Q60" i="11"/>
  <c r="I60" i="11"/>
  <c r="X59" i="11"/>
  <c r="V59" i="11"/>
  <c r="T59" i="11"/>
  <c r="R59" i="11"/>
  <c r="Q59" i="11"/>
  <c r="I59" i="11"/>
  <c r="X58" i="11"/>
  <c r="V58" i="11"/>
  <c r="T58" i="11"/>
  <c r="R58" i="11"/>
  <c r="Q58" i="11"/>
  <c r="I58" i="11"/>
  <c r="X57" i="11"/>
  <c r="V57" i="11"/>
  <c r="T57" i="11"/>
  <c r="R57" i="11"/>
  <c r="Q57" i="11"/>
  <c r="I57" i="11"/>
  <c r="X56" i="11"/>
  <c r="V56" i="11"/>
  <c r="T56" i="11"/>
  <c r="R56" i="11"/>
  <c r="Q56" i="11"/>
  <c r="I56" i="11"/>
  <c r="X55" i="11"/>
  <c r="V55" i="11"/>
  <c r="T55" i="11"/>
  <c r="R55" i="11"/>
  <c r="Q55" i="11"/>
  <c r="I55" i="11"/>
  <c r="X54" i="11"/>
  <c r="V54" i="11"/>
  <c r="T54" i="11"/>
  <c r="R54" i="11"/>
  <c r="Q54" i="11"/>
  <c r="I54" i="11"/>
  <c r="X53" i="11"/>
  <c r="V53" i="11"/>
  <c r="T53" i="11"/>
  <c r="R53" i="11"/>
  <c r="Q53" i="11"/>
  <c r="I53" i="11"/>
  <c r="X52" i="11"/>
  <c r="V52" i="11"/>
  <c r="T52" i="11"/>
  <c r="R52" i="11"/>
  <c r="Q52" i="11"/>
  <c r="I52" i="11"/>
  <c r="X51" i="11"/>
  <c r="V51" i="11"/>
  <c r="T51" i="11"/>
  <c r="R51" i="11"/>
  <c r="Q51" i="11"/>
  <c r="I51" i="11"/>
  <c r="X50" i="11"/>
  <c r="V50" i="11"/>
  <c r="T50" i="11"/>
  <c r="R50" i="11"/>
  <c r="Q50" i="11"/>
  <c r="I50" i="11"/>
  <c r="X49" i="11"/>
  <c r="V49" i="11"/>
  <c r="T49" i="11"/>
  <c r="R49" i="11"/>
  <c r="Q49" i="11"/>
  <c r="I49" i="11"/>
  <c r="X48" i="11"/>
  <c r="V48" i="11"/>
  <c r="T48" i="11"/>
  <c r="R48" i="11"/>
  <c r="Q48" i="11"/>
  <c r="I48" i="11"/>
  <c r="X47" i="11"/>
  <c r="V47" i="11"/>
  <c r="T47" i="11"/>
  <c r="R47" i="11"/>
  <c r="Q47" i="11"/>
  <c r="I47" i="11"/>
  <c r="X46" i="11"/>
  <c r="V46" i="11"/>
  <c r="T46" i="11"/>
  <c r="R46" i="11"/>
  <c r="Q46" i="11"/>
  <c r="I46" i="11"/>
  <c r="X45" i="11"/>
  <c r="V45" i="11"/>
  <c r="T45" i="11"/>
  <c r="R45" i="11"/>
  <c r="Q45" i="11"/>
  <c r="I45" i="11"/>
  <c r="X44" i="11"/>
  <c r="V44" i="11"/>
  <c r="T44" i="11"/>
  <c r="R44" i="11"/>
  <c r="Q44" i="11"/>
  <c r="I44" i="11"/>
  <c r="X43" i="11"/>
  <c r="V43" i="11"/>
  <c r="T43" i="11"/>
  <c r="R43" i="11"/>
  <c r="Q43" i="11"/>
  <c r="I43" i="11"/>
  <c r="X42" i="11"/>
  <c r="V42" i="11"/>
  <c r="T42" i="11"/>
  <c r="R42" i="11"/>
  <c r="Q42" i="11"/>
  <c r="I42" i="11"/>
  <c r="X41" i="11"/>
  <c r="V41" i="11"/>
  <c r="T41" i="11"/>
  <c r="R41" i="11"/>
  <c r="Q41" i="11"/>
  <c r="I41" i="11"/>
  <c r="X40" i="11"/>
  <c r="V40" i="11"/>
  <c r="T40" i="11"/>
  <c r="R40" i="11"/>
  <c r="Q40" i="11"/>
  <c r="I40" i="11"/>
  <c r="X39" i="11"/>
  <c r="V39" i="11"/>
  <c r="T39" i="11"/>
  <c r="R39" i="11"/>
  <c r="Q39" i="11"/>
  <c r="I39" i="11"/>
  <c r="X38" i="11"/>
  <c r="V38" i="11"/>
  <c r="T38" i="11"/>
  <c r="R38" i="11"/>
  <c r="Q38" i="11"/>
  <c r="I38" i="11"/>
  <c r="X37" i="11"/>
  <c r="V37" i="11"/>
  <c r="T37" i="11"/>
  <c r="R37" i="11"/>
  <c r="Q37" i="11"/>
  <c r="I37" i="11"/>
  <c r="X36" i="11"/>
  <c r="V36" i="11"/>
  <c r="T36" i="11"/>
  <c r="R36" i="11"/>
  <c r="Q36" i="11"/>
  <c r="I36" i="11"/>
  <c r="X35" i="11"/>
  <c r="V35" i="11"/>
  <c r="T35" i="11"/>
  <c r="R35" i="11"/>
  <c r="Q35" i="11"/>
  <c r="I35" i="11"/>
  <c r="X34" i="11"/>
  <c r="V34" i="11"/>
  <c r="T34" i="11"/>
  <c r="R34" i="11"/>
  <c r="Q34" i="11"/>
  <c r="I34" i="11"/>
  <c r="X33" i="11"/>
  <c r="V33" i="11"/>
  <c r="T33" i="11"/>
  <c r="R33" i="11"/>
  <c r="Q33" i="11"/>
  <c r="I33" i="11"/>
  <c r="X32" i="11"/>
  <c r="V32" i="11"/>
  <c r="T32" i="11"/>
  <c r="R32" i="11"/>
  <c r="Q32" i="11"/>
  <c r="I32" i="11"/>
  <c r="X31" i="11"/>
  <c r="V31" i="11"/>
  <c r="T31" i="11"/>
  <c r="R31" i="11"/>
  <c r="Q31" i="11"/>
  <c r="I31" i="11"/>
  <c r="X30" i="11"/>
  <c r="V30" i="11"/>
  <c r="T30" i="11"/>
  <c r="R30" i="11"/>
  <c r="Q30" i="11"/>
  <c r="I30" i="11"/>
  <c r="X29" i="11"/>
  <c r="V29" i="11"/>
  <c r="T29" i="11"/>
  <c r="R29" i="11"/>
  <c r="Q29" i="11"/>
  <c r="I29" i="11"/>
  <c r="X28" i="11"/>
  <c r="V28" i="11"/>
  <c r="T28" i="11"/>
  <c r="R28" i="11"/>
  <c r="Q28" i="11"/>
  <c r="I28" i="11"/>
  <c r="X27" i="11"/>
  <c r="V27" i="11"/>
  <c r="T27" i="11"/>
  <c r="R27" i="11"/>
  <c r="Q27" i="11"/>
  <c r="I27" i="11"/>
  <c r="X26" i="11"/>
  <c r="V26" i="11"/>
  <c r="T26" i="11"/>
  <c r="R26" i="11"/>
  <c r="Q26" i="11"/>
  <c r="I26" i="11"/>
  <c r="X25" i="11"/>
  <c r="V25" i="11"/>
  <c r="T25" i="11"/>
  <c r="R25" i="11"/>
  <c r="Q25" i="11"/>
  <c r="I25" i="11"/>
  <c r="X24" i="11"/>
  <c r="V24" i="11"/>
  <c r="T24" i="11"/>
  <c r="R24" i="11"/>
  <c r="Q24" i="11"/>
  <c r="I24" i="11"/>
  <c r="X23" i="11"/>
  <c r="V23" i="11"/>
  <c r="T23" i="11"/>
  <c r="R23" i="11"/>
  <c r="Q23" i="11"/>
  <c r="I23" i="11"/>
  <c r="X22" i="11"/>
  <c r="V22" i="11"/>
  <c r="T22" i="11"/>
  <c r="R22" i="11"/>
  <c r="Q22" i="11"/>
  <c r="I22" i="11"/>
  <c r="X21" i="11"/>
  <c r="V21" i="11"/>
  <c r="T21" i="11"/>
  <c r="R21" i="11"/>
  <c r="Q21" i="11"/>
  <c r="I21" i="11"/>
  <c r="X20" i="11"/>
  <c r="V20" i="11"/>
  <c r="T20" i="11"/>
  <c r="R20" i="11"/>
  <c r="Q20" i="11"/>
  <c r="I20" i="11"/>
  <c r="X19" i="11"/>
  <c r="V19" i="11"/>
  <c r="T19" i="11"/>
  <c r="R19" i="11"/>
  <c r="Q19" i="11"/>
  <c r="I19" i="11"/>
  <c r="X18" i="11"/>
  <c r="V18" i="11"/>
  <c r="T18" i="11"/>
  <c r="R18" i="11"/>
  <c r="Q18" i="11"/>
  <c r="I18" i="11"/>
  <c r="X17" i="11"/>
  <c r="V17" i="11"/>
  <c r="T17" i="11"/>
  <c r="R17" i="11"/>
  <c r="Q17" i="11"/>
  <c r="I17" i="11"/>
  <c r="X16" i="11"/>
  <c r="V16" i="11"/>
  <c r="T16" i="11"/>
  <c r="R16" i="11"/>
  <c r="Q16" i="11"/>
  <c r="I16" i="11"/>
  <c r="X15" i="11"/>
  <c r="V15" i="11"/>
  <c r="T15" i="11"/>
  <c r="R15" i="11"/>
  <c r="Q15" i="11"/>
  <c r="I15" i="11"/>
  <c r="X14" i="11"/>
  <c r="V14" i="11"/>
  <c r="T14" i="11"/>
  <c r="R14" i="11"/>
  <c r="Q14" i="11"/>
  <c r="I14" i="11"/>
  <c r="X13" i="11"/>
  <c r="V13" i="11"/>
  <c r="T13" i="11"/>
  <c r="R13" i="11"/>
  <c r="Q13" i="11"/>
  <c r="I13" i="11"/>
  <c r="X12" i="11"/>
  <c r="V12" i="11"/>
  <c r="T12" i="11"/>
  <c r="R12" i="11"/>
  <c r="Q12" i="11"/>
  <c r="I12" i="11"/>
  <c r="X11" i="11"/>
  <c r="V11" i="11"/>
  <c r="T11" i="11"/>
  <c r="R11" i="11"/>
  <c r="Q11" i="11"/>
  <c r="I11" i="11"/>
  <c r="X10" i="11"/>
  <c r="V10" i="11"/>
  <c r="T10" i="11"/>
  <c r="R10" i="11"/>
  <c r="Q10" i="11"/>
  <c r="I10" i="11"/>
  <c r="X9" i="11"/>
  <c r="V9" i="11"/>
  <c r="T9" i="11"/>
  <c r="R9" i="11"/>
  <c r="Q9" i="11"/>
  <c r="I9" i="11"/>
  <c r="X8" i="11"/>
  <c r="V8" i="11"/>
  <c r="Q8" i="11"/>
  <c r="T8" i="11" s="1"/>
  <c r="I8" i="11"/>
  <c r="X7" i="11"/>
  <c r="V7" i="11"/>
  <c r="R7" i="11"/>
  <c r="Q7" i="11"/>
  <c r="T7" i="11" s="1"/>
  <c r="I7" i="11"/>
  <c r="X6" i="11"/>
  <c r="B20" i="27" s="1"/>
  <c r="Q6" i="11"/>
  <c r="V6" i="11" s="1"/>
  <c r="B24" i="27" s="1"/>
  <c r="I6" i="11"/>
  <c r="R8" i="11" l="1"/>
  <c r="B28" i="16"/>
  <c r="B20" i="17"/>
  <c r="E13" i="14"/>
  <c r="D13" i="14"/>
  <c r="E21" i="14"/>
  <c r="D21" i="14"/>
  <c r="C8" i="24"/>
  <c r="D6" i="24"/>
  <c r="D8" i="24" s="1"/>
  <c r="B15" i="27" s="1"/>
  <c r="E10" i="13"/>
  <c r="E37" i="13" s="1"/>
  <c r="D10" i="13"/>
  <c r="E18" i="13"/>
  <c r="D18" i="13"/>
  <c r="E26" i="13"/>
  <c r="D26" i="13"/>
  <c r="E34" i="13"/>
  <c r="D34" i="13"/>
  <c r="E8" i="14"/>
  <c r="E37" i="14" s="1"/>
  <c r="D8" i="14"/>
  <c r="E16" i="14"/>
  <c r="D16" i="14"/>
  <c r="E24" i="14"/>
  <c r="D24" i="14"/>
  <c r="E32" i="14"/>
  <c r="D32" i="14"/>
  <c r="B28" i="15"/>
  <c r="E29" i="14"/>
  <c r="D29" i="14"/>
  <c r="D9" i="23"/>
  <c r="B14" i="27" s="1"/>
  <c r="E13" i="13"/>
  <c r="D13" i="13"/>
  <c r="E21" i="13"/>
  <c r="D21" i="13"/>
  <c r="E29" i="13"/>
  <c r="D29" i="13"/>
  <c r="B6" i="12"/>
  <c r="B8" i="12" s="1"/>
  <c r="R6" i="11"/>
  <c r="B9" i="23"/>
  <c r="T6" i="11"/>
  <c r="B23" i="27" s="1"/>
  <c r="D12" i="13"/>
  <c r="D37" i="13" s="1"/>
  <c r="D20" i="13"/>
  <c r="D28" i="13"/>
  <c r="D7" i="14"/>
  <c r="D37" i="14" s="1"/>
  <c r="D38" i="14" s="1"/>
  <c r="B7" i="27" s="1"/>
  <c r="D15" i="14"/>
  <c r="D23" i="14"/>
  <c r="D31" i="14"/>
  <c r="D38" i="13" l="1"/>
  <c r="B6" i="27" s="1"/>
  <c r="B11" i="17"/>
  <c r="B12" i="17" s="1"/>
  <c r="B24" i="17" s="1"/>
  <c r="B18" i="27"/>
  <c r="B11" i="18"/>
  <c r="B12" i="18" s="1"/>
  <c r="B24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7" authorId="0" shapeId="0" xr:uid="{00000000-0006-0000-0000-000002000000}">
      <text>
        <r>
          <rPr>
            <sz val="10"/>
            <rFont val="Arial"/>
            <family val="2"/>
          </rPr>
          <t>Hardcoded per project brief. This is the Old Company's ongoing project value as on 31-Dec-2025. Break this down project-wise in the 'Old Projects Master' table below for accurate per-project tracking.</t>
        </r>
      </text>
    </comment>
    <comment ref="A20" authorId="0" shapeId="0" xr:uid="{00000000-0006-0000-0000-000001000000}">
      <text>
        <r>
          <rPr>
            <sz val="10"/>
            <rFont val="Arial"/>
            <family val="2"/>
          </rPr>
          <t>EXAMPLE ROWS shown in blue. Replace/extend with your actual ongoing project list. This table drives the 'Old Project?' lookup in the Transaction Master (sheet 11).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2" authorId="0" shapeId="0" xr:uid="{00000000-0006-0000-1000-000001000000}">
      <text>
        <r>
          <rPr>
            <sz val="10"/>
            <rFont val="Arial"/>
            <family val="2"/>
          </rPr>
          <t>Set this formula to ='15 Old Company P&amp;L'!B&lt;row&gt; pointing at the 'NET PROFIT / (LOSS)' cell on that sheet — its exact row depends on how many ledgers you listed in the Chart of Accounts.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2" authorId="0" shapeId="0" xr:uid="{00000000-0006-0000-1100-000001000000}">
      <text>
        <r>
          <rPr>
            <sz val="10"/>
            <rFont val="Arial"/>
            <family val="2"/>
          </rPr>
          <t>Set this formula to ='16 New Company P&amp;L'!B&lt;row&gt; pointing at the 'NET PROFIT / (LOSS)' cell on that sheet — its exact row depends on how many ledgers you listed in the Chart of Accounts.</t>
        </r>
      </text>
    </comment>
  </commentList>
</comments>
</file>

<file path=xl/sharedStrings.xml><?xml version="1.0" encoding="utf-8"?>
<sst xmlns="http://schemas.openxmlformats.org/spreadsheetml/2006/main" count="758" uniqueCount="382">
  <si>
    <t>SETTINGS &amp; MASTER CONTROL</t>
  </si>
  <si>
    <t>Appletree Interiors — Business Segregation Workbook</t>
  </si>
  <si>
    <t>COMPANY NAMES</t>
  </si>
  <si>
    <t>Old Company (pre-segregation entity)</t>
  </si>
  <si>
    <t>Appletree Interiors</t>
  </si>
  <si>
    <t>New Company (JV execution entity)</t>
  </si>
  <si>
    <t>Appletree Interiors Pvt Ltd</t>
  </si>
  <si>
    <t>Ownership split</t>
  </si>
  <si>
    <t>50% Appletree / 50% Stories</t>
  </si>
  <si>
    <t>KEY DATES</t>
  </si>
  <si>
    <t>Old Company cut-off (ongoing projects valued)</t>
  </si>
  <si>
    <t>2025-12-31</t>
  </si>
  <si>
    <t>New Company incorporation date</t>
  </si>
  <si>
    <t>2026-01-01</t>
  </si>
  <si>
    <t>Mixed-books period start</t>
  </si>
  <si>
    <t>Mixed-books period end</t>
  </si>
  <si>
    <t>2026-07-11</t>
  </si>
  <si>
    <t>SEGREGATION DATE (books become independent)</t>
  </si>
  <si>
    <t>OPENING BALANCE — ONGOING PROJECTS AS ON 31-DEC-2025 (belongs to OLD COMPANY per Rule 1)</t>
  </si>
  <si>
    <t>Total value of ongoing projects (WIP + Revenue base)</t>
  </si>
  <si>
    <t>OLD PROJECTS MASTER (add one row per ongoing project as on 31-Dec-2025)</t>
  </si>
  <si>
    <t>Project Name</t>
  </si>
  <si>
    <t>Customer</t>
  </si>
  <si>
    <t>Value as on 31-Dec-2025</t>
  </si>
  <si>
    <t>Status</t>
  </si>
  <si>
    <t>Sandesh Residence</t>
  </si>
  <si>
    <t>Sandesh</t>
  </si>
  <si>
    <t>MC Enclave - Iqbal</t>
  </si>
  <si>
    <t>Mr. Iqbal</t>
  </si>
  <si>
    <t>Villa 10, Moozhikkal - Shilpa Arun</t>
  </si>
  <si>
    <t>Shilpa Arun</t>
  </si>
  <si>
    <t>GST RATES</t>
  </si>
  <si>
    <t>Exempt</t>
  </si>
  <si>
    <t>GST 5%</t>
  </si>
  <si>
    <t>GST 12%</t>
  </si>
  <si>
    <t>GST 18%</t>
  </si>
  <si>
    <t>GST 28%</t>
  </si>
  <si>
    <t>ALLOCATION RULES (business rules encoded — see full text for detail)</t>
  </si>
  <si>
    <t>RULE 1: Revenue, Receivables, Advances and Profit on the ongoing (31-Dec-2025) projects belong to the OLD COMPANY.</t>
  </si>
  <si>
    <t>RULE 2: New Company executes those projects only as an EXECUTION AGENCY.</t>
  </si>
  <si>
    <t>RULE 3: Execution is at ACTUAL COST ONLY — no markup, no management fee, no overhead recovery.</t>
  </si>
  <si>
    <t>RULE 4: ALL office overhead from 01-Jan-2026 onward belongs 100% to the NEW COMPANY. Old Company bears ZERO overhead after that date.</t>
  </si>
  <si>
    <t>RULE 5: Only DIRECT PROJECT COST (material, site labour, subcontract, transport, project-specific expense) incurred by New Co for Old projects is recoverable from Old Co.</t>
  </si>
  <si>
    <t>RULE 6: Raw material stock transferred Old-&gt;New is booked as Old Co Stock Sale / New Co Stock Purchase (sheet 21).</t>
  </si>
  <si>
    <t>RULE 7: Segregation date 11-Jul-2026 — books fully independent from that date.</t>
  </si>
  <si>
    <t>SHARED flag: minimal by design (Rule 4 removes most sharing). Where it exists, sheet 26 (Adjustment Journals) shows a recommended split — never auto-applied.</t>
  </si>
  <si>
    <t>IMPORT DAYBOOK — RAW PASTE ZONE</t>
  </si>
  <si>
    <t>Paste the Tally export below the header row exactly as exported. Do NOT edit values here.</t>
  </si>
  <si>
    <t>Date</t>
  </si>
  <si>
    <t>Voucher No</t>
  </si>
  <si>
    <t>Voucher Type</t>
  </si>
  <si>
    <t>Ledger</t>
  </si>
  <si>
    <t>Party</t>
  </si>
  <si>
    <t>Narration</t>
  </si>
  <si>
    <t>Debit</t>
  </si>
  <si>
    <t>Credit</t>
  </si>
  <si>
    <t>Amount</t>
  </si>
  <si>
    <t>GST Amount</t>
  </si>
  <si>
    <t>Reference</t>
  </si>
  <si>
    <t>e.g. Date</t>
  </si>
  <si>
    <t>HOW TO USE THIS SHEET</t>
  </si>
  <si>
    <t>1. Export the corresponding report from Tally (Gateway of Tally &gt; Display/Reports &gt; Export &gt; Excel).</t>
  </si>
  <si>
    <t>2. Paste as VALUES starting at the row directly below the header (row 5), keeping column order.</t>
  </si>
  <si>
    <t>3. This is a raw staging area only — no formulas live here. All processing happens in sheet 11 (Transaction Master).</t>
  </si>
  <si>
    <t>4. Extend the table (drag the bottom-right corner) if you have more rows than currently sized.</t>
  </si>
  <si>
    <t>IMPORT LEDGER — RAW PASTE ZONE</t>
  </si>
  <si>
    <t>Ledger Name</t>
  </si>
  <si>
    <t>Group</t>
  </si>
  <si>
    <t>Particulars</t>
  </si>
  <si>
    <t>Balance</t>
  </si>
  <si>
    <t>e.g. Ledger Name</t>
  </si>
  <si>
    <t>IMPORT TRIALBALANCE — RAW PASTE ZONE</t>
  </si>
  <si>
    <t>Opening Debit</t>
  </si>
  <si>
    <t>Opening Credit</t>
  </si>
  <si>
    <t>Closing Debit</t>
  </si>
  <si>
    <t>Closing Credit</t>
  </si>
  <si>
    <t>IMPORT STOCK — RAW PASTE ZONE</t>
  </si>
  <si>
    <t>Item Name</t>
  </si>
  <si>
    <t>Unit</t>
  </si>
  <si>
    <t>Opening Qty</t>
  </si>
  <si>
    <t>Opening Value</t>
  </si>
  <si>
    <t>Inward Qty</t>
  </si>
  <si>
    <t>Inward Value</t>
  </si>
  <si>
    <t>Outward Qty</t>
  </si>
  <si>
    <t>Outward Value</t>
  </si>
  <si>
    <t>Closing Qty</t>
  </si>
  <si>
    <t>Closing Value</t>
  </si>
  <si>
    <t>e.g. Item Name</t>
  </si>
  <si>
    <t>IMPORT RECEIVABLES — RAW PASTE ZONE</t>
  </si>
  <si>
    <t>Due Date</t>
  </si>
  <si>
    <t>Bill Amount</t>
  </si>
  <si>
    <t>Amount Received</t>
  </si>
  <si>
    <t>Balance Due</t>
  </si>
  <si>
    <t>Project</t>
  </si>
  <si>
    <t>e.g. Customer</t>
  </si>
  <si>
    <t>IMPORT PAYABLES — RAW PASTE ZONE</t>
  </si>
  <si>
    <t>Supplier</t>
  </si>
  <si>
    <t>Amount Paid</t>
  </si>
  <si>
    <t>e.g. Supplier</t>
  </si>
  <si>
    <t>IMPORT BANKBOOK — RAW PASTE ZONE</t>
  </si>
  <si>
    <t>Bank Ledger</t>
  </si>
  <si>
    <t>Debit (Deposit)</t>
  </si>
  <si>
    <t>Credit (Withdrawal)</t>
  </si>
  <si>
    <t>IMPORT CASHBOOK — RAW PASTE ZONE</t>
  </si>
  <si>
    <t>Debit (Receipt)</t>
  </si>
  <si>
    <t>Credit (Payment)</t>
  </si>
  <si>
    <t>CHART OF ACCOUNTS MAPPING</t>
  </si>
  <si>
    <t>Every ledger used in Tally must appear here exactly once. This drives classification everywhere else.</t>
  </si>
  <si>
    <t>Nature</t>
  </si>
  <si>
    <t>Classification</t>
  </si>
  <si>
    <t>Default Company Assignment</t>
  </si>
  <si>
    <t>Overhead? (Y/N)</t>
  </si>
  <si>
    <t>Notes</t>
  </si>
  <si>
    <t>Sales - Interior Projects</t>
  </si>
  <si>
    <t>Sales Accounts</t>
  </si>
  <si>
    <t>Income</t>
  </si>
  <si>
    <t>Old Company</t>
  </si>
  <si>
    <t>N</t>
  </si>
  <si>
    <t>Rule 1: all revenue on ongoing projects stays with Old Co</t>
  </si>
  <si>
    <t>Site Material Purchase</t>
  </si>
  <si>
    <t>Purchase Accounts</t>
  </si>
  <si>
    <t>Expense</t>
  </si>
  <si>
    <t>Direct Cost</t>
  </si>
  <si>
    <t>Split by Flag</t>
  </si>
  <si>
    <t>Direct project cost — recoverable from Old Co if for Old project (Rule 5)</t>
  </si>
  <si>
    <t>Site Labour Charges</t>
  </si>
  <si>
    <t>Direct Expenses</t>
  </si>
  <si>
    <t>Direct project cost — recoverable</t>
  </si>
  <si>
    <t>Subcontract Charges</t>
  </si>
  <si>
    <t>Site Transport</t>
  </si>
  <si>
    <t>Office Rent</t>
  </si>
  <si>
    <t>Indirect Expenses</t>
  </si>
  <si>
    <t>Indirect Cost</t>
  </si>
  <si>
    <t>New Company</t>
  </si>
  <si>
    <t>Y</t>
  </si>
  <si>
    <t>Rule 4: 100% New Co, never recoverable from Old Co</t>
  </si>
  <si>
    <t>Office Salary</t>
  </si>
  <si>
    <t>Rule 4</t>
  </si>
  <si>
    <t>Admin Salary</t>
  </si>
  <si>
    <t>Electricity Charges</t>
  </si>
  <si>
    <t>Internet &amp; Telephone</t>
  </si>
  <si>
    <t>Fuel Expenses</t>
  </si>
  <si>
    <t>Marketing Expenses</t>
  </si>
  <si>
    <t>Professional &amp; Audit Fees</t>
  </si>
  <si>
    <t>Vehicle Running Expenses</t>
  </si>
  <si>
    <t>Software &amp; Subscriptions</t>
  </si>
  <si>
    <t>Printing &amp; Stationery</t>
  </si>
  <si>
    <t>Factory Overhead</t>
  </si>
  <si>
    <t>Sundry Debtors</t>
  </si>
  <si>
    <t>Asset</t>
  </si>
  <si>
    <t>Receivables on Old projects (Rule 1)</t>
  </si>
  <si>
    <t>Sundry Creditors</t>
  </si>
  <si>
    <t>Liability</t>
  </si>
  <si>
    <t>Customer Advance</t>
  </si>
  <si>
    <t>Current Liabilities</t>
  </si>
  <si>
    <t>Rule 1</t>
  </si>
  <si>
    <t>HDFC Bank - Old Co</t>
  </si>
  <si>
    <t>Bank Accounts</t>
  </si>
  <si>
    <t>Bank</t>
  </si>
  <si>
    <t>HDFC Bank - New Co</t>
  </si>
  <si>
    <t>Cash</t>
  </si>
  <si>
    <t>Cash-in-Hand</t>
  </si>
  <si>
    <t>Raw Material Stock</t>
  </si>
  <si>
    <t>Stock-in-Hand</t>
  </si>
  <si>
    <t>Stock</t>
  </si>
  <si>
    <t>Rule 6: transfer = Old sale / New purchase</t>
  </si>
  <si>
    <t>Output CGST/SGST/IGST</t>
  </si>
  <si>
    <t>Duties &amp; Taxes</t>
  </si>
  <si>
    <t>GST</t>
  </si>
  <si>
    <t>Input CGST/SGST/IGST</t>
  </si>
  <si>
    <t>Bank Loan</t>
  </si>
  <si>
    <t>Loans (Liability)</t>
  </si>
  <si>
    <t>Loan</t>
  </si>
  <si>
    <t>Capital Account</t>
  </si>
  <si>
    <t>Capital</t>
  </si>
  <si>
    <t>Intercompany - Old Co A/c</t>
  </si>
  <si>
    <t>Intercompany</t>
  </si>
  <si>
    <t>Asset/Liability</t>
  </si>
  <si>
    <t>Both</t>
  </si>
  <si>
    <t>Auto-populated mirror of sheet 12</t>
  </si>
  <si>
    <t>Intercompany - New Co A/c</t>
  </si>
  <si>
    <t>Add EVERY ledger from your Tally chart of accounts as its own row (example rows shown in blue).</t>
  </si>
  <si>
    <t>'Default Company Assignment' + the transaction's Flag together decide where an amount lands — see sheet 11.</t>
  </si>
  <si>
    <t>'Split by Flag' means the ledger itself doesn't decide ownership; the transaction-level OLD/NEW/SHARED flag does.</t>
  </si>
  <si>
    <t>TRANSACTION MASTER</t>
  </si>
  <si>
    <t>Every voucher, one row. Flag drives every downstream schedule and statement.</t>
  </si>
  <si>
    <t>Voucher Number</t>
  </si>
  <si>
    <t>Payment Mode</t>
  </si>
  <si>
    <t>Old Project?</t>
  </si>
  <si>
    <t>New Project?</t>
  </si>
  <si>
    <t>Flag</t>
  </si>
  <si>
    <t>Adjustment Required?</t>
  </si>
  <si>
    <t>Recovered From Old?</t>
  </si>
  <si>
    <t>Suggested Flag (QA)</t>
  </si>
  <si>
    <t>Remarks</t>
  </si>
  <si>
    <t>Voucher Balanced?</t>
  </si>
  <si>
    <t>2026-02-10</t>
  </si>
  <si>
    <t>JV-0231</t>
  </si>
  <si>
    <t>Purchase</t>
  </si>
  <si>
    <t>XYZ Timber Traders</t>
  </si>
  <si>
    <t>Plywood for Sandesh site</t>
  </si>
  <si>
    <t>OLD</t>
  </si>
  <si>
    <t>Pending</t>
  </si>
  <si>
    <t>Recoverable from Old Co per Rule 5</t>
  </si>
  <si>
    <t>2026-02-15</t>
  </si>
  <si>
    <t>JV-0245</t>
  </si>
  <si>
    <t>Payment</t>
  </si>
  <si>
    <t>Landlord - Kunnathpalam</t>
  </si>
  <si>
    <t>Feb rent - Al-Amana Tower</t>
  </si>
  <si>
    <t>NEW</t>
  </si>
  <si>
    <t>N/A</t>
  </si>
  <si>
    <t>Rule 4 — overhead, New Co only</t>
  </si>
  <si>
    <t>2026-03-01</t>
  </si>
  <si>
    <t>SAL-0102</t>
  </si>
  <si>
    <t>Sales</t>
  </si>
  <si>
    <t>Progress billing - MC Enclave</t>
  </si>
  <si>
    <t>Rule 1 — revenue on ongoing project</t>
  </si>
  <si>
    <t>Paste/enter one row per voucher (columns A-N, P, S, U, W are your inputs — shown in blue for the 3 example rows).</t>
  </si>
  <si>
    <t>Columns I, Q, R, T, V (Amount, Old Project?, New Project?, Adjustment Required?, Suggested Flag) are FORMULAS — do not overtype them.</t>
  </si>
  <si>
    <t>'Flag' (col S) is your OLD/NEW/SHARED classification per voucher. 'Suggested Flag' (col V) is the system's own recommendation from the Chart of Accounts + project match — a mismatch is highlighted amber for review, but is NEVER auto-applied.</t>
  </si>
  <si>
    <t>'Adjustment Required?' turns Yes (highlighted red) when a voucher looks like it breaks Rule 1 or Rule 4, or is flagged SHARED — review these in sheet 26 (Adjustment Journals).</t>
  </si>
  <si>
    <t>'Recovered From Old?' is entered manually as costs are actually invoiced to Old Co — reconciled against sheet 22 (Project Cost Recovery).</t>
  </si>
  <si>
    <t>The table is sized for 100,000+ rows; formulas are pre-filled for the first 500 rows for file size — select row 505's formula cells and fill down as far as you add data.</t>
  </si>
  <si>
    <t>IMPORTANT: a real Tally voucher normally posts to 2+ ledgers (e.g. Dr Site Material Purchase / Cr Bank). Paste EVERY ledger leg as its own row under the SAME Voucher Number — the Trial Balance and 'Voucher Balanced?' check only reconcile to zero once both legs of each voucher are present. The 3 example rows above are illustrative single legs only, to show column usage — they will not balance on their own.</t>
  </si>
  <si>
    <t>INTERCOMPANY LEDGER</t>
  </si>
  <si>
    <t>Auto-generated from Transaction Master. Tracks what New Co is owed for executing Old Co's projects at cost (Rule 3/5).</t>
  </si>
  <si>
    <t>Component</t>
  </si>
  <si>
    <t>Direct project cost incurred BY New Co bank/cash FOR Old Co projects</t>
  </si>
  <si>
    <t>Less: Amount already recovered/reimbursed from Old Co</t>
  </si>
  <si>
    <t>NET INTERCOMPANY RECEIVABLE — New Co from Old Co</t>
  </si>
  <si>
    <t>This account must appear as:</t>
  </si>
  <si>
    <t xml:space="preserve"> • An ASSET (Amount Due from New Co) in the Old Company Balance Sheet, OR a payable if negative</t>
  </si>
  <si>
    <t xml:space="preserve"> • An ASSET (Amount Due from Old Co) in the New Company Balance Sheet — mirrors sheet 17/18 automatically</t>
  </si>
  <si>
    <t>This sheet nets the direct cost New Co has funded on Old Co's behalf against what's already been recovered.</t>
  </si>
  <si>
    <t>It reads live from Transaction Master (sheet 11) — nothing here is hardcoded.</t>
  </si>
  <si>
    <t>The Bank/Cash text match ('*New Co*') assumes bank ledger names contain 'New Co' — rename to match your actual bank ledger naming in sheet 10 if different.</t>
  </si>
  <si>
    <t>TRIAL BALANCE — OLD COMPANY (Appletree Interiors)</t>
  </si>
  <si>
    <t>Auto-summed from Transaction Master where Flag = OLD. SHARED items excluded pending sheet 26 adjustment.</t>
  </si>
  <si>
    <t>TOTAL</t>
  </si>
  <si>
    <t>Difference (must be 0)</t>
  </si>
  <si>
    <t>TRIAL BALANCE — NEW COMPANY (Appletree Interiors Pvt Ltd)</t>
  </si>
  <si>
    <t>Auto-summed from Transaction Master where Flag = NEW. SHARED items excluded pending sheet 26 adjustment.</t>
  </si>
  <si>
    <t>PROFIT &amp; LOSS — OLD COMPANY</t>
  </si>
  <si>
    <t>Income and Expense ledgers only, Flag = OLD.</t>
  </si>
  <si>
    <t>INCOME</t>
  </si>
  <si>
    <t>Total Income</t>
  </si>
  <si>
    <t>EXPENSES (Direct + Indirect)</t>
  </si>
  <si>
    <t>Total Expenses</t>
  </si>
  <si>
    <t>NET PROFIT / (LOSS)</t>
  </si>
  <si>
    <t>PROFIT &amp; LOSS — NEW COMPANY</t>
  </si>
  <si>
    <t>Income and Expense ledgers only, Flag = NEW.</t>
  </si>
  <si>
    <t>BALANCE SHEET — OLD COMPANY</t>
  </si>
  <si>
    <t>Asset/Liability/Bank/Cash/Stock/GST/Loan/Capital ledgers, Flag = OLD.</t>
  </si>
  <si>
    <t>ASSETS</t>
  </si>
  <si>
    <t>Intercompany Balance (from sheet 12)</t>
  </si>
  <si>
    <t>Total Assets</t>
  </si>
  <si>
    <t>LIABILITIES &amp; CAPITAL</t>
  </si>
  <si>
    <t>Total Liabilities &amp; Capital</t>
  </si>
  <si>
    <t>Add: Current Period Profit/(Loss) (link to P&amp;L sheet's Net Profit cell)</t>
  </si>
  <si>
    <t>CHECK: Total Assets − (Total Liabilities &amp; Capital) — must be 0</t>
  </si>
  <si>
    <t>BALANCE SHEET — NEW COMPANY</t>
  </si>
  <si>
    <t>Asset/Liability/Bank/Cash/Stock/GST/Loan/Capital ledgers, Flag = NEW.</t>
  </si>
  <si>
    <t>BANK RECONSTRUCTION</t>
  </si>
  <si>
    <t>Opening + Receipts − Payments = Closing, independently for both companies.</t>
  </si>
  <si>
    <t>Opening Balance (enter manually from last audited books)</t>
  </si>
  <si>
    <t>Total Receipts (Bank, this company's flagged vouchers)</t>
  </si>
  <si>
    <t>Total Payments (Bank, this company's flagged vouchers)</t>
  </si>
  <si>
    <t>Closing Balance (computed)</t>
  </si>
  <si>
    <t>Actual Bank Book / Statement Closing (enter from sheet 08/09 import, or bank statement)</t>
  </si>
  <si>
    <t>'TXN_BANK' matches against the free-text Bank/Cash column in Transaction Master — keep bank ledger names consistent (e.g. always 'HDFC Bank - Old Co').</t>
  </si>
  <si>
    <t>Enter each company's true opening balance once, from the last agreed books before the mixed period began.</t>
  </si>
  <si>
    <t>CASH RECONSTRUCTION</t>
  </si>
  <si>
    <t>Total Receipts (Cash, this company's flagged vouchers)</t>
  </si>
  <si>
    <t>Total Payments (Cash, this company's flagged vouchers)</t>
  </si>
  <si>
    <t>Actual Cash Book / Statement Closing (enter from sheet 08/09 import, or bank statement)</t>
  </si>
  <si>
    <t>'TXN_CASH' matches against the free-text Bank/Cash column in Transaction Master — keep bank ledger names consistent (e.g. always 'HDFC Bank - Old Co').</t>
  </si>
  <si>
    <t>STOCK TRANSFER — OLD CO SALE / NEW CO PURCHASE</t>
  </si>
  <si>
    <t>Rule 6: raw material stock moved Old→New is booked as an Old Co stock sale and a mirrored New Co stock purchase at the same value — no markup.</t>
  </si>
  <si>
    <t>Item</t>
  </si>
  <si>
    <t>Qty</t>
  </si>
  <si>
    <t>Rate</t>
  </si>
  <si>
    <t>Value</t>
  </si>
  <si>
    <t>Old Co Entry</t>
  </si>
  <si>
    <t>New Co Entry</t>
  </si>
  <si>
    <t>Transfer Voucher No.</t>
  </si>
  <si>
    <t>18mm MR Plywood - 8x4</t>
  </si>
  <si>
    <t>Sheet</t>
  </si>
  <si>
    <t>Stock Sale (Credit)</t>
  </si>
  <si>
    <t>Stock Purchase (Debit)</t>
  </si>
  <si>
    <t>STK-XFER-001</t>
  </si>
  <si>
    <t>2026-01-15</t>
  </si>
  <si>
    <t>Laminate - Standard Finish</t>
  </si>
  <si>
    <t>TOTAL STOCK TRANSFER VALUE</t>
  </si>
  <si>
    <t>Add one row per item transferred. Value = Qty × Rate (formula, do not overtype).</t>
  </si>
  <si>
    <t>This total must be journaled twice in Transaction Master: once as Old Co's stock sale (credit Raw Material Stock, debit Intercompany), once as New Co's stock purchase (debit Raw Material Stock, credit Intercompany) — see sheet 26.</t>
  </si>
  <si>
    <t>No markup is applied — Rule 6 requires the same value on both sides.</t>
  </si>
  <si>
    <t>PROJECT COST RECOVERY</t>
  </si>
  <si>
    <t>Direct cost New Co has incurred executing Old Co's ongoing projects, and how much has been recovered (Rule 3 &amp; 5).</t>
  </si>
  <si>
    <t>Material</t>
  </si>
  <si>
    <t>Labour</t>
  </si>
  <si>
    <t>Transport</t>
  </si>
  <si>
    <t>Subcontract</t>
  </si>
  <si>
    <t>Total Direct Cost</t>
  </si>
  <si>
    <t>Recovered</t>
  </si>
  <si>
    <t>Pending Recovery</t>
  </si>
  <si>
    <t>Project names must exactly match the 'Old Projects Master' list in sheet 01 Settings and the Project column in Transaction Master.</t>
  </si>
  <si>
    <t>Add a row per ongoing project. Extend the ledger-matching formulas (columns B-E) if you add more direct-cost ledger types in the Chart of Accounts.</t>
  </si>
  <si>
    <t>'Recovered' pulls only vouchers marked Recovered From Old = Yes in Transaction Master — mark them as invoices are actually raised on Old Co.</t>
  </si>
  <si>
    <t>RECEIVABLE SPLIT</t>
  </si>
  <si>
    <t>Receivable balances by party, split Old vs New Co, from Transaction Master.</t>
  </si>
  <si>
    <t>Old Company Balance</t>
  </si>
  <si>
    <t>New Company Balance</t>
  </si>
  <si>
    <t>Total</t>
  </si>
  <si>
    <t>Add every customer as a row (example customers shown in blue).</t>
  </si>
  <si>
    <t>Per Rule 1, receivables on ongoing projects should show entirely under 'Old Company Balance' — a nonzero New Company balance for an old-project customer is worth investigating.</t>
  </si>
  <si>
    <t>PAYABLE SPLIT</t>
  </si>
  <si>
    <t>Payable balances by party, split Old vs New Co, from Transaction Master.</t>
  </si>
  <si>
    <t>ABC Hardware Suppliers</t>
  </si>
  <si>
    <t>Add every supplier as a row (example suppliers shown in blue).</t>
  </si>
  <si>
    <t>GST RECONCILIATION</t>
  </si>
  <si>
    <t>Output vs Input GST, split by company, from Transaction Master.</t>
  </si>
  <si>
    <t>Output GST collected (Sales)</t>
  </si>
  <si>
    <t>Input GST paid (Material Purchase)</t>
  </si>
  <si>
    <t>Net GST Payable / (Credit Carried Forward)</t>
  </si>
  <si>
    <t>Extend the Output/Input rows if you add more Income or Direct Cost ledgers to the Chart of Accounts — copy the SUMIFS pattern with the new ledger name.</t>
  </si>
  <si>
    <t>Each company should file its own GSTR return once books are independent (post 11-Jul-2026) — this sheet is for internal reconciliation only, not a filing document.</t>
  </si>
  <si>
    <t>ADJUSTMENT JOURNALS</t>
  </si>
  <si>
    <t>Manual journal register for SHARED vouchers and anything flagged 'Adjustment Required = Yes' in Transaction Master. Nothing here is auto-applied — every line is a reviewed, approved decision.</t>
  </si>
  <si>
    <t>Ref Voucher No.</t>
  </si>
  <si>
    <t>Description of Adjustment</t>
  </si>
  <si>
    <t>Recommended Split (Old/New)</t>
  </si>
  <si>
    <t>Dr Company</t>
  </si>
  <si>
    <t>Cr Company</t>
  </si>
  <si>
    <t>Approved By</t>
  </si>
  <si>
    <t>Direct material cost incurred by New Co bank for Sandesh (Old Co project) — reclassify as intercompany recoverable, not a New Co expense.</t>
  </si>
  <si>
    <t>100% Old Co (per Rule 5)</t>
  </si>
  <si>
    <t>Pending Review</t>
  </si>
  <si>
    <t>Workflow: filter sheet 11 Transaction Master by 'Adjustment Required? = Yes' or 'Flag = SHARED', then log each one here with a recommended treatment.</t>
  </si>
  <si>
    <t>Only journals with Status = Posted should be reflected back into Transaction Master (as a new dated correcting entry — never edit the original voucher row).</t>
  </si>
  <si>
    <t>This keeps a full audit trail: original entry, recommended fix, approval, and the correcting entry are all traceable.</t>
  </si>
  <si>
    <t>RECONCILIATION DASHBOARD</t>
  </si>
  <si>
    <t>Single-page control panel — every difference below should read zero before the books are declared segregated.</t>
  </si>
  <si>
    <t>Check</t>
  </si>
  <si>
    <t>Result</t>
  </si>
  <si>
    <t>Old Company TB Difference (Debit − Credit)</t>
  </si>
  <si>
    <t>Must equal 0</t>
  </si>
  <si>
    <t>New Company TB Difference (Debit − Credit)</t>
  </si>
  <si>
    <t>Old Company Balance Sheet Check</t>
  </si>
  <si>
    <t>Link manually — see note</t>
  </si>
  <si>
    <t>New Company Balance Sheet Check</t>
  </si>
  <si>
    <t>Bank Difference — Old Co</t>
  </si>
  <si>
    <t>Reconstructed vs actual bank closing</t>
  </si>
  <si>
    <t>Bank Difference — New Co</t>
  </si>
  <si>
    <t>Cash Difference — Old Co</t>
  </si>
  <si>
    <t>Reconstructed vs actual cash closing</t>
  </si>
  <si>
    <t>Cash Difference — New Co</t>
  </si>
  <si>
    <t>Receivable Total (all customers)</t>
  </si>
  <si>
    <t>Cross-check vs Sundry Debtors in TB</t>
  </si>
  <si>
    <t>Payable Total (all suppliers)</t>
  </si>
  <si>
    <t>Cross-check vs Sundry Creditors in TB</t>
  </si>
  <si>
    <t>Net GST Payable — Old Co</t>
  </si>
  <si>
    <t>For information</t>
  </si>
  <si>
    <t>Net GST Payable — New Co</t>
  </si>
  <si>
    <t>Net Intercompany Receivable (New Co from Old Co)</t>
  </si>
  <si>
    <t>Should net to zero once fully settled</t>
  </si>
  <si>
    <t>Missing Flags (blank Flag with data in row)</t>
  </si>
  <si>
    <t>Should be 0 — every voucher must be flagged</t>
  </si>
  <si>
    <t>Unbalanced Vouchers (a Voucher No. where total Dr ≠ total Cr)</t>
  </si>
  <si>
    <t>0 once every ledger leg of each voucher is pasted in (see note below)</t>
  </si>
  <si>
    <t>Duplicate Voucher Lines (exact Date+Vch No+Ledger+Debit+Credit repeated)</t>
  </si>
  <si>
    <t>Should be 0 — flags an accidental double-paste of the same line</t>
  </si>
  <si>
    <t>Negative Stock (Closing Qty &lt; 0 in Import Stock)</t>
  </si>
  <si>
    <t>Should be 0 — check sheet 05 Import Stock, Opening/Closing Qty columns</t>
  </si>
  <si>
    <t>Rows Needing Adjustment (Adjustment Required = Yes)</t>
  </si>
  <si>
    <t>Track resolution in sheet 26</t>
  </si>
  <si>
    <t>Rows Where Flag ≠ Suggested Flag (QA mismatch)</t>
  </si>
  <si>
    <t>Review — may be intentional or a data-entry issue</t>
  </si>
  <si>
    <t>Missing Ledgers (used in Transaction Master, absent from Chart of Accounts)</t>
  </si>
  <si>
    <t>Add these ledgers to sheet 10</t>
  </si>
  <si>
    <t>Rows marked 'Link manually' point at a placeholder — once your Balance Sheet 'CHECK' cell row is known (depends on ledger count), replace with that exact cell reference.</t>
  </si>
  <si>
    <t>Anything showing a nonzero, non-green result needs investigation before the segregation is signed off.</t>
  </si>
  <si>
    <t>Note: true Excel Pivot Tables and Power Query connections are not generated by this build script (they require an interactive Excel session) — every schedule above is instead built with live SUMIFS/INDEX-MATCH formulas that update automatically when Transaction Master changes, which gives the same 'change a flag, everything updates' behaviour. If you want ad-hoc pivot slicing too, insert a PivotTable in Excel directly off the 'tbl_Txn' table (Insert &gt; PivotTable) — it's already structured for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</si>
</sst>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3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color rgb="FF0000FF"/>
      <name val="Arial"/>
      <charset val="1"/>
    </font>
    <font>
      <b/>
      <sz val="11"/>
      <name val="Arial"/>
      <charset val="1"/>
    </font>
    <font>
      <b/>
      <sz val="12"/>
      <color rgb="FF0000FF"/>
      <name val="Arial"/>
      <charset val="1"/>
    </font>
    <font>
      <b/>
      <sz val="10"/>
      <color rgb="FFFFFFFF"/>
      <name val="Arial"/>
      <charset val="1"/>
    </font>
    <font>
      <sz val="11"/>
      <color rgb="FF0000FF"/>
      <name val="Arial"/>
      <charset val="1"/>
    </font>
    <font>
      <sz val="9"/>
      <name val="Arial"/>
      <charset val="1"/>
    </font>
    <font>
      <sz val="10"/>
      <name val="Arial"/>
      <family val="2"/>
    </font>
    <font>
      <i/>
      <sz val="9"/>
      <color rgb="FF808080"/>
      <name val="Arial"/>
      <charset val="1"/>
    </font>
    <font>
      <b/>
      <sz val="11"/>
      <color rgb="FF1F3864"/>
      <name val="Arial"/>
      <charset val="1"/>
    </font>
    <font>
      <i/>
      <sz val="9"/>
      <color rgb="FF595959"/>
      <name val="Arial"/>
      <charset val="1"/>
    </font>
    <font>
      <sz val="9"/>
      <color rgb="FF0000FF"/>
      <name val="Arial"/>
      <charset val="1"/>
    </font>
    <font>
      <sz val="9"/>
      <color rgb="FF008000"/>
      <name val="Arial"/>
      <charset val="1"/>
    </font>
    <font>
      <sz val="11"/>
      <color rgb="FF008000"/>
      <name val="Arial"/>
      <charset val="1"/>
    </font>
    <font>
      <b/>
      <sz val="11"/>
      <color rgb="FF008000"/>
      <name val="Arial"/>
      <charset val="1"/>
    </font>
    <font>
      <i/>
      <sz val="9"/>
      <name val="Arial"/>
      <charset val="1"/>
    </font>
    <font>
      <i/>
      <sz val="11"/>
      <name val="Arial"/>
      <charset val="1"/>
    </font>
    <font>
      <b/>
      <sz val="12"/>
      <name val="Arial"/>
      <charset val="1"/>
    </font>
    <font>
      <b/>
      <sz val="9"/>
      <color rgb="FF008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E4620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0" fillId="0" borderId="0" xfId="0" applyFon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164" fontId="7" fillId="3" borderId="0" xfId="0" applyNumberFormat="1" applyFont="1" applyFill="1"/>
    <xf numFmtId="4" fontId="5" fillId="0" borderId="0" xfId="0" applyNumberFormat="1" applyFont="1"/>
    <xf numFmtId="0" fontId="8" fillId="4" borderId="1" xfId="0" applyFont="1" applyFill="1" applyBorder="1" applyAlignment="1">
      <alignment horizontal="center" vertical="center" wrapText="1"/>
    </xf>
    <xf numFmtId="0" fontId="9" fillId="0" borderId="0" xfId="0" applyFont="1"/>
    <xf numFmtId="4" fontId="9" fillId="0" borderId="0" xfId="0" applyNumberFormat="1" applyFont="1"/>
    <xf numFmtId="9" fontId="9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0" applyNumberFormat="1" applyFont="1"/>
    <xf numFmtId="4" fontId="15" fillId="0" borderId="0" xfId="0" applyNumberFormat="1" applyFont="1"/>
    <xf numFmtId="4" fontId="16" fillId="0" borderId="0" xfId="0" applyNumberFormat="1" applyFont="1"/>
    <xf numFmtId="0" fontId="16" fillId="0" borderId="0" xfId="0" applyFont="1"/>
    <xf numFmtId="4" fontId="17" fillId="0" borderId="0" xfId="0" applyNumberFormat="1" applyFont="1"/>
    <xf numFmtId="4" fontId="18" fillId="5" borderId="0" xfId="0" applyNumberFormat="1" applyFont="1" applyFill="1"/>
    <xf numFmtId="0" fontId="19" fillId="0" borderId="0" xfId="0" applyFont="1"/>
    <xf numFmtId="4" fontId="6" fillId="0" borderId="2" xfId="0" applyNumberFormat="1" applyFont="1" applyBorder="1"/>
    <xf numFmtId="0" fontId="20" fillId="0" borderId="0" xfId="0" applyFont="1"/>
    <xf numFmtId="4" fontId="0" fillId="0" borderId="0" xfId="0" applyNumberFormat="1"/>
    <xf numFmtId="4" fontId="6" fillId="0" borderId="0" xfId="0" applyNumberFormat="1" applyFont="1"/>
    <xf numFmtId="0" fontId="21" fillId="0" borderId="0" xfId="0" applyFont="1"/>
    <xf numFmtId="4" fontId="21" fillId="3" borderId="0" xfId="0" applyNumberFormat="1" applyFont="1" applyFill="1"/>
    <xf numFmtId="4" fontId="0" fillId="3" borderId="0" xfId="0" applyNumberFormat="1" applyFill="1"/>
    <xf numFmtId="4" fontId="6" fillId="3" borderId="0" xfId="0" applyNumberFormat="1" applyFont="1" applyFill="1"/>
    <xf numFmtId="4" fontId="22" fillId="0" borderId="0" xfId="0" applyNumberFormat="1" applyFont="1"/>
    <xf numFmtId="4" fontId="18" fillId="0" borderId="0" xfId="0" applyNumberFormat="1" applyFont="1"/>
    <xf numFmtId="0" fontId="10" fillId="0" borderId="0" xfId="0" applyFont="1"/>
    <xf numFmtId="0" fontId="3" fillId="2" borderId="0" xfId="0" applyFont="1" applyFill="1"/>
  </cellXfs>
  <cellStyles count="1">
    <cellStyle name="Normal" xfId="0" builtinId="0"/>
  </cellStyles>
  <dxfs count="4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1E46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0000000}" name="tbl_OldProjects" displayName="tbl_OldProjects" ref="A20:D25" totalsRowShown="0">
  <autoFilter ref="A20:D25" xr:uid="{00000000-0009-0000-0100-00000D000000}"/>
  <tableColumns count="4">
    <tableColumn id="1" xr3:uid="{00000000-0010-0000-0000-000001000000}" name="Project Name"/>
    <tableColumn id="2" xr3:uid="{00000000-0010-0000-0000-000002000000}" name="Customer"/>
    <tableColumn id="3" xr3:uid="{00000000-0010-0000-0000-000003000000}" name="Value as on 31-Dec-2025"/>
    <tableColumn id="4" xr3:uid="{00000000-0010-0000-0000-000004000000}" name="Statu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_02_DayBook" displayName="tbl_02_DayBook" ref="A4:K104" totalsRowShown="0">
  <autoFilter ref="A4:K104" xr:uid="{00000000-0009-0000-0100-000001000000}"/>
  <tableColumns count="11">
    <tableColumn id="1" xr3:uid="{00000000-0010-0000-0100-000001000000}" name="Date"/>
    <tableColumn id="2" xr3:uid="{00000000-0010-0000-0100-000002000000}" name="Voucher No"/>
    <tableColumn id="3" xr3:uid="{00000000-0010-0000-0100-000003000000}" name="Voucher Type"/>
    <tableColumn id="4" xr3:uid="{00000000-0010-0000-0100-000004000000}" name="Ledger"/>
    <tableColumn id="5" xr3:uid="{00000000-0010-0000-0100-000005000000}" name="Party"/>
    <tableColumn id="6" xr3:uid="{00000000-0010-0000-0100-000006000000}" name="Narration"/>
    <tableColumn id="7" xr3:uid="{00000000-0010-0000-0100-000007000000}" name="Debit"/>
    <tableColumn id="8" xr3:uid="{00000000-0010-0000-0100-000008000000}" name="Credit"/>
    <tableColumn id="9" xr3:uid="{00000000-0010-0000-0100-000009000000}" name="Amount"/>
    <tableColumn id="10" xr3:uid="{00000000-0010-0000-0100-00000A000000}" name="GST Amount"/>
    <tableColumn id="11" xr3:uid="{00000000-0010-0000-0100-00000B000000}" name="Referenc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_03_Ledger" displayName="tbl_03_Ledger" ref="A4:H104" totalsRowShown="0">
  <autoFilter ref="A4:H104" xr:uid="{00000000-0009-0000-0100-000002000000}"/>
  <tableColumns count="8">
    <tableColumn id="1" xr3:uid="{00000000-0010-0000-0200-000001000000}" name="Ledger Name"/>
    <tableColumn id="2" xr3:uid="{00000000-0010-0000-0200-000002000000}" name="Group"/>
    <tableColumn id="3" xr3:uid="{00000000-0010-0000-0200-000003000000}" name="Date"/>
    <tableColumn id="4" xr3:uid="{00000000-0010-0000-0200-000004000000}" name="Particulars"/>
    <tableColumn id="5" xr3:uid="{00000000-0010-0000-0200-000005000000}" name="Voucher Type"/>
    <tableColumn id="6" xr3:uid="{00000000-0010-0000-0200-000006000000}" name="Debit"/>
    <tableColumn id="7" xr3:uid="{00000000-0010-0000-0200-000007000000}" name="Credit"/>
    <tableColumn id="8" xr3:uid="{00000000-0010-0000-0200-000008000000}" name="Balanc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_04_TrialBalance" displayName="tbl_04_TrialBalance" ref="A4:H104" totalsRowShown="0">
  <autoFilter ref="A4:H104" xr:uid="{00000000-0009-0000-0100-000003000000}"/>
  <tableColumns count="8">
    <tableColumn id="1" xr3:uid="{00000000-0010-0000-0300-000001000000}" name="Ledger Name"/>
    <tableColumn id="2" xr3:uid="{00000000-0010-0000-0300-000002000000}" name="Group"/>
    <tableColumn id="3" xr3:uid="{00000000-0010-0000-0300-000003000000}" name="Opening Debit"/>
    <tableColumn id="4" xr3:uid="{00000000-0010-0000-0300-000004000000}" name="Opening Credit"/>
    <tableColumn id="5" xr3:uid="{00000000-0010-0000-0300-000005000000}" name="Debit"/>
    <tableColumn id="6" xr3:uid="{00000000-0010-0000-0300-000006000000}" name="Credit"/>
    <tableColumn id="7" xr3:uid="{00000000-0010-0000-0300-000007000000}" name="Closing Debit"/>
    <tableColumn id="8" xr3:uid="{00000000-0010-0000-0300-000008000000}" name="Closing Credi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_05_Stock" displayName="tbl_05_Stock" ref="A4:K104" totalsRowShown="0">
  <autoFilter ref="A4:K104" xr:uid="{00000000-0009-0000-0100-000004000000}"/>
  <tableColumns count="11">
    <tableColumn id="1" xr3:uid="{00000000-0010-0000-0400-000001000000}" name="Item Name"/>
    <tableColumn id="2" xr3:uid="{00000000-0010-0000-0400-000002000000}" name="Group"/>
    <tableColumn id="3" xr3:uid="{00000000-0010-0000-0400-000003000000}" name="Unit"/>
    <tableColumn id="4" xr3:uid="{00000000-0010-0000-0400-000004000000}" name="Opening Qty"/>
    <tableColumn id="5" xr3:uid="{00000000-0010-0000-0400-000005000000}" name="Opening Value"/>
    <tableColumn id="6" xr3:uid="{00000000-0010-0000-0400-000006000000}" name="Inward Qty"/>
    <tableColumn id="7" xr3:uid="{00000000-0010-0000-0400-000007000000}" name="Inward Value"/>
    <tableColumn id="8" xr3:uid="{00000000-0010-0000-0400-000008000000}" name="Outward Qty"/>
    <tableColumn id="9" xr3:uid="{00000000-0010-0000-0400-000009000000}" name="Outward Value"/>
    <tableColumn id="10" xr3:uid="{00000000-0010-0000-0400-00000A000000}" name="Closing Qty"/>
    <tableColumn id="11" xr3:uid="{00000000-0010-0000-0400-00000B000000}" name="Closing Valu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bl_06_Receivables" displayName="tbl_06_Receivables" ref="A4:H104" totalsRowShown="0">
  <autoFilter ref="A4:H104" xr:uid="{00000000-0009-0000-0100-000005000000}"/>
  <tableColumns count="8">
    <tableColumn id="1" xr3:uid="{00000000-0010-0000-0500-000001000000}" name="Customer"/>
    <tableColumn id="2" xr3:uid="{00000000-0010-0000-0500-000002000000}" name="Voucher No"/>
    <tableColumn id="3" xr3:uid="{00000000-0010-0000-0500-000003000000}" name="Date"/>
    <tableColumn id="4" xr3:uid="{00000000-0010-0000-0500-000004000000}" name="Due Date"/>
    <tableColumn id="5" xr3:uid="{00000000-0010-0000-0500-000005000000}" name="Bill Amount"/>
    <tableColumn id="6" xr3:uid="{00000000-0010-0000-0500-000006000000}" name="Amount Received"/>
    <tableColumn id="7" xr3:uid="{00000000-0010-0000-0500-000007000000}" name="Balance Due"/>
    <tableColumn id="8" xr3:uid="{00000000-0010-0000-0500-000008000000}" name="Projec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bl_07_Payables" displayName="tbl_07_Payables" ref="A4:H104" totalsRowShown="0">
  <autoFilter ref="A4:H104" xr:uid="{00000000-0009-0000-0100-000006000000}"/>
  <tableColumns count="8">
    <tableColumn id="1" xr3:uid="{00000000-0010-0000-0600-000001000000}" name="Supplier"/>
    <tableColumn id="2" xr3:uid="{00000000-0010-0000-0600-000002000000}" name="Voucher No"/>
    <tableColumn id="3" xr3:uid="{00000000-0010-0000-0600-000003000000}" name="Date"/>
    <tableColumn id="4" xr3:uid="{00000000-0010-0000-0600-000004000000}" name="Due Date"/>
    <tableColumn id="5" xr3:uid="{00000000-0010-0000-0600-000005000000}" name="Bill Amount"/>
    <tableColumn id="6" xr3:uid="{00000000-0010-0000-0600-000006000000}" name="Amount Paid"/>
    <tableColumn id="7" xr3:uid="{00000000-0010-0000-0600-000007000000}" name="Balance Due"/>
    <tableColumn id="8" xr3:uid="{00000000-0010-0000-0600-000008000000}" name="Projec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bl_08_BankBook" displayName="tbl_08_BankBook" ref="A4:H104" totalsRowShown="0">
  <autoFilter ref="A4:H104" xr:uid="{00000000-0009-0000-0100-000007000000}"/>
  <tableColumns count="8">
    <tableColumn id="1" xr3:uid="{00000000-0010-0000-0700-000001000000}" name="Date"/>
    <tableColumn id="2" xr3:uid="{00000000-0010-0000-0700-000002000000}" name="Bank Ledger"/>
    <tableColumn id="3" xr3:uid="{00000000-0010-0000-0700-000003000000}" name="Voucher No"/>
    <tableColumn id="4" xr3:uid="{00000000-0010-0000-0700-000004000000}" name="Particulars"/>
    <tableColumn id="5" xr3:uid="{00000000-0010-0000-0700-000005000000}" name="Voucher Type"/>
    <tableColumn id="6" xr3:uid="{00000000-0010-0000-0700-000006000000}" name="Debit (Deposit)"/>
    <tableColumn id="7" xr3:uid="{00000000-0010-0000-0700-000007000000}" name="Credit (Withdrawal)"/>
    <tableColumn id="8" xr3:uid="{00000000-0010-0000-0700-000008000000}" name="Balanc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bl_09_CashBook" displayName="tbl_09_CashBook" ref="A4:G104" totalsRowShown="0">
  <autoFilter ref="A4:G104" xr:uid="{00000000-0009-0000-0100-000008000000}"/>
  <tableColumns count="7">
    <tableColumn id="1" xr3:uid="{00000000-0010-0000-0800-000001000000}" name="Date"/>
    <tableColumn id="2" xr3:uid="{00000000-0010-0000-0800-000002000000}" name="Voucher No"/>
    <tableColumn id="3" xr3:uid="{00000000-0010-0000-0800-000003000000}" name="Particulars"/>
    <tableColumn id="4" xr3:uid="{00000000-0010-0000-0800-000004000000}" name="Voucher Type"/>
    <tableColumn id="5" xr3:uid="{00000000-0010-0000-0800-000005000000}" name="Debit (Receipt)"/>
    <tableColumn id="6" xr3:uid="{00000000-0010-0000-0800-000006000000}" name="Credit (Payment)"/>
    <tableColumn id="7" xr3:uid="{00000000-0010-0000-0800-000007000000}" name="Balance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bl_COA" displayName="tbl_COA" ref="A4:G34" totalsRowShown="0">
  <autoFilter ref="A4:G34" xr:uid="{00000000-0009-0000-0100-00000C000000}"/>
  <tableColumns count="7">
    <tableColumn id="1" xr3:uid="{00000000-0010-0000-0900-000001000000}" name="Ledger Name"/>
    <tableColumn id="2" xr3:uid="{00000000-0010-0000-0900-000002000000}" name="Group"/>
    <tableColumn id="3" xr3:uid="{00000000-0010-0000-0900-000003000000}" name="Nature"/>
    <tableColumn id="4" xr3:uid="{00000000-0010-0000-0900-000004000000}" name="Classification"/>
    <tableColumn id="5" xr3:uid="{00000000-0010-0000-0900-000005000000}" name="Default Company Assignment"/>
    <tableColumn id="6" xr3:uid="{00000000-0010-0000-0900-000006000000}" name="Overhead? (Y/N)"/>
    <tableColumn id="7" xr3:uid="{00000000-0010-0000-0900-000007000000}" name="Note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A000000}" name="tbl_Txn" displayName="tbl_Txn" ref="A5:X505" totalsRowShown="0">
  <autoFilter ref="A5:X505" xr:uid="{00000000-0009-0000-0100-000010000000}"/>
  <tableColumns count="24">
    <tableColumn id="1" xr3:uid="{00000000-0010-0000-0A00-000001000000}" name="Date"/>
    <tableColumn id="2" xr3:uid="{00000000-0010-0000-0A00-000002000000}" name="Voucher Number"/>
    <tableColumn id="3" xr3:uid="{00000000-0010-0000-0A00-000003000000}" name="Voucher Type"/>
    <tableColumn id="4" xr3:uid="{00000000-0010-0000-0A00-000004000000}" name="Ledger"/>
    <tableColumn id="5" xr3:uid="{00000000-0010-0000-0A00-000005000000}" name="Party"/>
    <tableColumn id="6" xr3:uid="{00000000-0010-0000-0A00-000006000000}" name="Narration"/>
    <tableColumn id="7" xr3:uid="{00000000-0010-0000-0A00-000007000000}" name="Debit"/>
    <tableColumn id="8" xr3:uid="{00000000-0010-0000-0A00-000008000000}" name="Credit"/>
    <tableColumn id="9" xr3:uid="{00000000-0010-0000-0A00-000009000000}" name="Amount"/>
    <tableColumn id="10" xr3:uid="{00000000-0010-0000-0A00-00000A000000}" name="GST"/>
    <tableColumn id="11" xr3:uid="{00000000-0010-0000-0A00-00000B000000}" name="Project"/>
    <tableColumn id="12" xr3:uid="{00000000-0010-0000-0A00-00000C000000}" name="Customer"/>
    <tableColumn id="13" xr3:uid="{00000000-0010-0000-0A00-00000D000000}" name="Supplier"/>
    <tableColumn id="14" xr3:uid="{00000000-0010-0000-0A00-00000E000000}" name="Payment Mode"/>
    <tableColumn id="15" xr3:uid="{00000000-0010-0000-0A00-00000F000000}" name="Bank"/>
    <tableColumn id="16" xr3:uid="{00000000-0010-0000-0A00-000010000000}" name="Cash"/>
    <tableColumn id="17" xr3:uid="{00000000-0010-0000-0A00-000011000000}" name="Old Project?"/>
    <tableColumn id="18" xr3:uid="{00000000-0010-0000-0A00-000012000000}" name="New Project?"/>
    <tableColumn id="19" xr3:uid="{00000000-0010-0000-0A00-000013000000}" name="Flag"/>
    <tableColumn id="20" xr3:uid="{00000000-0010-0000-0A00-000014000000}" name="Adjustment Required?"/>
    <tableColumn id="21" xr3:uid="{00000000-0010-0000-0A00-000015000000}" name="Recovered From Old?"/>
    <tableColumn id="22" xr3:uid="{00000000-0010-0000-0A00-000016000000}" name="Suggested Flag (QA)"/>
    <tableColumn id="23" xr3:uid="{00000000-0010-0000-0A00-000017000000}" name="Remarks"/>
    <tableColumn id="24" xr3:uid="{00000000-0010-0000-0A00-000018000000}" name="Voucher Balanced?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B000000}" name="tbl_StockTransfer" displayName="tbl_StockTransfer" ref="A5:I7" totalsRowShown="0">
  <autoFilter ref="A5:I7" xr:uid="{00000000-0009-0000-0100-00000F000000}"/>
  <tableColumns count="9">
    <tableColumn id="1" xr3:uid="{00000000-0010-0000-0B00-000001000000}" name="Item"/>
    <tableColumn id="2" xr3:uid="{00000000-0010-0000-0B00-000002000000}" name="Qty"/>
    <tableColumn id="3" xr3:uid="{00000000-0010-0000-0B00-000003000000}" name="Unit"/>
    <tableColumn id="4" xr3:uid="{00000000-0010-0000-0B00-000004000000}" name="Rate"/>
    <tableColumn id="5" xr3:uid="{00000000-0010-0000-0B00-000005000000}" name="Value"/>
    <tableColumn id="6" xr3:uid="{00000000-0010-0000-0B00-000006000000}" name="Old Co Entry"/>
    <tableColumn id="7" xr3:uid="{00000000-0010-0000-0B00-000007000000}" name="New Co Entry"/>
    <tableColumn id="8" xr3:uid="{00000000-0010-0000-0B00-000008000000}" name="Transfer Voucher No."/>
    <tableColumn id="9" xr3:uid="{00000000-0010-0000-0B00-000009000000}" name="Date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tbl_ProjectRecovery" displayName="tbl_ProjectRecovery" ref="A5:H8" totalsRowShown="0">
  <autoFilter ref="A5:H8" xr:uid="{00000000-0009-0000-0100-00000E000000}"/>
  <tableColumns count="8">
    <tableColumn id="1" xr3:uid="{00000000-0010-0000-0C00-000001000000}" name="Project"/>
    <tableColumn id="2" xr3:uid="{00000000-0010-0000-0C00-000002000000}" name="Material"/>
    <tableColumn id="3" xr3:uid="{00000000-0010-0000-0C00-000003000000}" name="Labour"/>
    <tableColumn id="4" xr3:uid="{00000000-0010-0000-0C00-000004000000}" name="Transport"/>
    <tableColumn id="5" xr3:uid="{00000000-0010-0000-0C00-000005000000}" name="Subcontract"/>
    <tableColumn id="6" xr3:uid="{00000000-0010-0000-0C00-000006000000}" name="Total Direct Cost"/>
    <tableColumn id="7" xr3:uid="{00000000-0010-0000-0C00-000007000000}" name="Recovered"/>
    <tableColumn id="8" xr3:uid="{00000000-0010-0000-0C00-000008000000}" name="Pending Recovery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D000000}" name="tbl_23Split" displayName="tbl_23Split" ref="A5:D8" totalsRowShown="0">
  <autoFilter ref="A5:D8" xr:uid="{00000000-0009-0000-0100-000009000000}"/>
  <tableColumns count="4">
    <tableColumn id="1" xr3:uid="{00000000-0010-0000-0D00-000001000000}" name="Party"/>
    <tableColumn id="2" xr3:uid="{00000000-0010-0000-0D00-000002000000}" name="Old Company Balance"/>
    <tableColumn id="3" xr3:uid="{00000000-0010-0000-0D00-000003000000}" name="New Company Balance"/>
    <tableColumn id="4" xr3:uid="{00000000-0010-0000-0D00-000004000000}" name="Total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E000000}" name="tbl_24Split" displayName="tbl_24Split" ref="A5:D7" totalsRowShown="0">
  <autoFilter ref="A5:D7" xr:uid="{00000000-0009-0000-0100-00000A000000}"/>
  <tableColumns count="4">
    <tableColumn id="1" xr3:uid="{00000000-0010-0000-0E00-000001000000}" name="Party"/>
    <tableColumn id="2" xr3:uid="{00000000-0010-0000-0E00-000002000000}" name="Old Company Balance"/>
    <tableColumn id="3" xr3:uid="{00000000-0010-0000-0E00-000003000000}" name="New Company Balance"/>
    <tableColumn id="4" xr3:uid="{00000000-0010-0000-0E00-000004000000}" name="Total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F000000}" name="tbl_AdjJournals" displayName="tbl_AdjJournals" ref="A5:J105" totalsRowShown="0">
  <autoFilter ref="A5:J105" xr:uid="{00000000-0009-0000-0100-00000B000000}"/>
  <tableColumns count="10">
    <tableColumn id="1" xr3:uid="{00000000-0010-0000-0F00-000001000000}" name="Ref Voucher No."/>
    <tableColumn id="2" xr3:uid="{00000000-0010-0000-0F00-000002000000}" name="Date"/>
    <tableColumn id="3" xr3:uid="{00000000-0010-0000-0F00-000003000000}" name="Ledger"/>
    <tableColumn id="4" xr3:uid="{00000000-0010-0000-0F00-000004000000}" name="Description of Adjustment"/>
    <tableColumn id="5" xr3:uid="{00000000-0010-0000-0F00-000005000000}" name="Recommended Split (Old/New)"/>
    <tableColumn id="6" xr3:uid="{00000000-0010-0000-0F00-000006000000}" name="Dr Company"/>
    <tableColumn id="7" xr3:uid="{00000000-0010-0000-0F00-000007000000}" name="Cr Company"/>
    <tableColumn id="8" xr3:uid="{00000000-0010-0000-0F00-000008000000}" name="Amount"/>
    <tableColumn id="9" xr3:uid="{00000000-0010-0000-0F00-000009000000}" name="Approved By"/>
    <tableColumn id="10" xr3:uid="{00000000-0010-0000-0F00-00000A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zoomScaleNormal="100" workbookViewId="0">
      <pane ySplit="4" topLeftCell="A30" activePane="bottomLeft" state="frozen"/>
      <selection pane="bottomLeft" activeCell="A21" sqref="A21:D25"/>
    </sheetView>
  </sheetViews>
  <sheetFormatPr defaultColWidth="8.6328125" defaultRowHeight="14.5" x14ac:dyDescent="0.35"/>
  <cols>
    <col min="1" max="1" width="30" customWidth="1"/>
    <col min="2" max="2" width="34" customWidth="1"/>
    <col min="3" max="3" width="16.6328125" customWidth="1"/>
    <col min="4" max="4" width="40" customWidth="1"/>
  </cols>
  <sheetData>
    <row r="1" spans="1:4" ht="18" x14ac:dyDescent="0.4">
      <c r="A1" s="2" t="s">
        <v>0</v>
      </c>
    </row>
    <row r="2" spans="1:4" x14ac:dyDescent="0.35">
      <c r="A2" s="3" t="s">
        <v>1</v>
      </c>
    </row>
    <row r="4" spans="1:4" x14ac:dyDescent="0.35">
      <c r="A4" s="36" t="s">
        <v>2</v>
      </c>
      <c r="B4" s="36"/>
      <c r="C4" s="36"/>
      <c r="D4" s="36"/>
    </row>
    <row r="5" spans="1:4" x14ac:dyDescent="0.35">
      <c r="A5" s="4" t="s">
        <v>3</v>
      </c>
      <c r="B5" s="5" t="s">
        <v>4</v>
      </c>
    </row>
    <row r="6" spans="1:4" x14ac:dyDescent="0.35">
      <c r="A6" s="4" t="s">
        <v>5</v>
      </c>
      <c r="B6" s="5" t="s">
        <v>6</v>
      </c>
    </row>
    <row r="7" spans="1:4" x14ac:dyDescent="0.35">
      <c r="A7" s="4" t="s">
        <v>7</v>
      </c>
      <c r="B7" s="5" t="s">
        <v>8</v>
      </c>
    </row>
    <row r="9" spans="1:4" x14ac:dyDescent="0.35">
      <c r="A9" s="36" t="s">
        <v>9</v>
      </c>
      <c r="B9" s="36"/>
      <c r="C9" s="36"/>
      <c r="D9" s="36"/>
    </row>
    <row r="10" spans="1:4" x14ac:dyDescent="0.35">
      <c r="A10" t="s">
        <v>10</v>
      </c>
      <c r="B10" s="6" t="s">
        <v>11</v>
      </c>
    </row>
    <row r="11" spans="1:4" x14ac:dyDescent="0.35">
      <c r="A11" t="s">
        <v>12</v>
      </c>
      <c r="B11" s="6" t="s">
        <v>13</v>
      </c>
    </row>
    <row r="12" spans="1:4" x14ac:dyDescent="0.35">
      <c r="A12" t="s">
        <v>14</v>
      </c>
      <c r="B12" s="6" t="s">
        <v>13</v>
      </c>
    </row>
    <row r="13" spans="1:4" x14ac:dyDescent="0.35">
      <c r="A13" t="s">
        <v>15</v>
      </c>
      <c r="B13" s="6" t="s">
        <v>16</v>
      </c>
    </row>
    <row r="14" spans="1:4" ht="15.5" x14ac:dyDescent="0.35">
      <c r="A14" s="7" t="s">
        <v>17</v>
      </c>
      <c r="B14" s="8" t="s">
        <v>16</v>
      </c>
    </row>
    <row r="16" spans="1:4" x14ac:dyDescent="0.35">
      <c r="A16" s="36" t="s">
        <v>18</v>
      </c>
      <c r="B16" s="36"/>
      <c r="C16" s="36"/>
      <c r="D16" s="36"/>
    </row>
    <row r="17" spans="1:4" x14ac:dyDescent="0.35">
      <c r="A17" t="s">
        <v>19</v>
      </c>
      <c r="B17" s="9">
        <v>12586031</v>
      </c>
    </row>
    <row r="19" spans="1:4" x14ac:dyDescent="0.35">
      <c r="A19" s="36" t="s">
        <v>20</v>
      </c>
      <c r="B19" s="36"/>
      <c r="C19" s="36"/>
      <c r="D19" s="36"/>
    </row>
    <row r="20" spans="1:4" ht="30" customHeight="1" x14ac:dyDescent="0.35">
      <c r="A20" s="10" t="s">
        <v>21</v>
      </c>
      <c r="B20" s="10" t="s">
        <v>22</v>
      </c>
      <c r="C20" s="10" t="s">
        <v>23</v>
      </c>
      <c r="D20" s="10" t="s">
        <v>24</v>
      </c>
    </row>
    <row r="21" spans="1:4" x14ac:dyDescent="0.35">
      <c r="A21" s="11"/>
      <c r="B21" s="11"/>
      <c r="C21" s="12"/>
      <c r="D21" s="11"/>
    </row>
    <row r="22" spans="1:4" x14ac:dyDescent="0.35">
      <c r="A22" s="11"/>
      <c r="B22" s="11"/>
      <c r="C22" s="12"/>
      <c r="D22" s="11"/>
    </row>
    <row r="23" spans="1:4" x14ac:dyDescent="0.35">
      <c r="A23" s="11"/>
      <c r="B23" s="11"/>
      <c r="C23" s="12"/>
      <c r="D23" s="11"/>
    </row>
    <row r="28" spans="1:4" x14ac:dyDescent="0.35">
      <c r="A28" s="36" t="s">
        <v>31</v>
      </c>
      <c r="B28" s="36"/>
    </row>
    <row r="29" spans="1:4" x14ac:dyDescent="0.35">
      <c r="A29" t="s">
        <v>32</v>
      </c>
      <c r="B29" s="13">
        <v>0</v>
      </c>
    </row>
    <row r="30" spans="1:4" x14ac:dyDescent="0.35">
      <c r="A30" t="s">
        <v>33</v>
      </c>
      <c r="B30" s="13">
        <v>0.05</v>
      </c>
    </row>
    <row r="31" spans="1:4" x14ac:dyDescent="0.35">
      <c r="A31" t="s">
        <v>34</v>
      </c>
      <c r="B31" s="13">
        <v>0.12</v>
      </c>
    </row>
    <row r="32" spans="1:4" x14ac:dyDescent="0.35">
      <c r="A32" t="s">
        <v>35</v>
      </c>
      <c r="B32" s="13">
        <v>0.18</v>
      </c>
    </row>
    <row r="33" spans="1:4" x14ac:dyDescent="0.35">
      <c r="A33" t="s">
        <v>36</v>
      </c>
      <c r="B33" s="13">
        <v>0.28000000000000003</v>
      </c>
    </row>
    <row r="36" spans="1:4" x14ac:dyDescent="0.35">
      <c r="A36" s="36" t="s">
        <v>37</v>
      </c>
      <c r="B36" s="36"/>
      <c r="C36" s="36"/>
      <c r="D36" s="36"/>
    </row>
    <row r="37" spans="1:4" ht="15" customHeight="1" x14ac:dyDescent="0.35">
      <c r="A37" s="35" t="s">
        <v>38</v>
      </c>
      <c r="B37" s="35"/>
      <c r="C37" s="35"/>
      <c r="D37" s="35"/>
    </row>
    <row r="38" spans="1:4" ht="15" customHeight="1" x14ac:dyDescent="0.35">
      <c r="A38" s="35" t="s">
        <v>39</v>
      </c>
      <c r="B38" s="35"/>
      <c r="C38" s="35"/>
      <c r="D38" s="35"/>
    </row>
    <row r="39" spans="1:4" ht="15" customHeight="1" x14ac:dyDescent="0.35">
      <c r="A39" s="35" t="s">
        <v>40</v>
      </c>
      <c r="B39" s="35"/>
      <c r="C39" s="35"/>
      <c r="D39" s="35"/>
    </row>
    <row r="40" spans="1:4" ht="15" customHeight="1" x14ac:dyDescent="0.35">
      <c r="A40" s="35" t="s">
        <v>41</v>
      </c>
      <c r="B40" s="35"/>
      <c r="C40" s="35"/>
      <c r="D40" s="35"/>
    </row>
    <row r="41" spans="1:4" ht="15" customHeight="1" x14ac:dyDescent="0.35">
      <c r="A41" s="35" t="s">
        <v>42</v>
      </c>
      <c r="B41" s="35"/>
      <c r="C41" s="35"/>
      <c r="D41" s="35"/>
    </row>
    <row r="42" spans="1:4" ht="15" customHeight="1" x14ac:dyDescent="0.35">
      <c r="A42" s="35" t="s">
        <v>43</v>
      </c>
      <c r="B42" s="35"/>
      <c r="C42" s="35"/>
      <c r="D42" s="35"/>
    </row>
    <row r="43" spans="1:4" ht="15" customHeight="1" x14ac:dyDescent="0.35">
      <c r="A43" s="35" t="s">
        <v>44</v>
      </c>
      <c r="B43" s="35"/>
      <c r="C43" s="35"/>
      <c r="D43" s="35"/>
    </row>
    <row r="44" spans="1:4" ht="15" customHeight="1" x14ac:dyDescent="0.35">
      <c r="A44" s="35" t="s">
        <v>45</v>
      </c>
      <c r="B44" s="35"/>
      <c r="C44" s="35"/>
      <c r="D44" s="35"/>
    </row>
  </sheetData>
  <mergeCells count="14">
    <mergeCell ref="A4:D4"/>
    <mergeCell ref="A9:D9"/>
    <mergeCell ref="A16:D16"/>
    <mergeCell ref="A19:D19"/>
    <mergeCell ref="A28:B28"/>
    <mergeCell ref="A41:D41"/>
    <mergeCell ref="A42:D42"/>
    <mergeCell ref="A43:D43"/>
    <mergeCell ref="A44:D44"/>
    <mergeCell ref="A36:D36"/>
    <mergeCell ref="A37:D37"/>
    <mergeCell ref="A38:D38"/>
    <mergeCell ref="A39:D39"/>
    <mergeCell ref="A40:D40"/>
  </mergeCell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2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1" width="16" customWidth="1"/>
  </cols>
  <sheetData>
    <row r="1" spans="1:11" ht="18" x14ac:dyDescent="0.4">
      <c r="A1" s="2" t="s">
        <v>46</v>
      </c>
    </row>
    <row r="2" spans="1:11" x14ac:dyDescent="0.35">
      <c r="A2" s="3" t="s">
        <v>47</v>
      </c>
    </row>
    <row r="4" spans="1:11" ht="30" customHeight="1" x14ac:dyDescent="0.35">
      <c r="A4" s="10" t="s">
        <v>48</v>
      </c>
      <c r="B4" s="10" t="s">
        <v>49</v>
      </c>
      <c r="C4" s="10" t="s">
        <v>50</v>
      </c>
      <c r="D4" s="10" t="s">
        <v>51</v>
      </c>
      <c r="E4" s="10" t="s">
        <v>52</v>
      </c>
      <c r="F4" s="10" t="s">
        <v>53</v>
      </c>
      <c r="G4" s="10" t="s">
        <v>54</v>
      </c>
      <c r="H4" s="10" t="s">
        <v>55</v>
      </c>
      <c r="I4" s="10" t="s">
        <v>56</v>
      </c>
      <c r="J4" s="10" t="s">
        <v>57</v>
      </c>
      <c r="K4" s="10" t="s">
        <v>58</v>
      </c>
    </row>
    <row r="5" spans="1:11" x14ac:dyDescent="0.35">
      <c r="A5" s="14" t="s">
        <v>59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108" spans="1:1" x14ac:dyDescent="0.35">
      <c r="A108" s="15" t="s">
        <v>60</v>
      </c>
    </row>
    <row r="109" spans="1:1" x14ac:dyDescent="0.35">
      <c r="A109" s="16" t="s">
        <v>61</v>
      </c>
    </row>
    <row r="110" spans="1:1" x14ac:dyDescent="0.35">
      <c r="A110" s="16" t="s">
        <v>62</v>
      </c>
    </row>
    <row r="111" spans="1:1" x14ac:dyDescent="0.35">
      <c r="A111" s="16" t="s">
        <v>63</v>
      </c>
    </row>
    <row r="112" spans="1:1" x14ac:dyDescent="0.35">
      <c r="A112" s="16" t="s">
        <v>64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2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8" width="16" customWidth="1"/>
  </cols>
  <sheetData>
    <row r="1" spans="1:8" ht="18" x14ac:dyDescent="0.4">
      <c r="A1" s="2" t="s">
        <v>65</v>
      </c>
    </row>
    <row r="2" spans="1:8" x14ac:dyDescent="0.35">
      <c r="A2" s="3" t="s">
        <v>47</v>
      </c>
    </row>
    <row r="4" spans="1:8" ht="30" customHeight="1" x14ac:dyDescent="0.35">
      <c r="A4" s="10" t="s">
        <v>66</v>
      </c>
      <c r="B4" s="10" t="s">
        <v>67</v>
      </c>
      <c r="C4" s="10" t="s">
        <v>48</v>
      </c>
      <c r="D4" s="10" t="s">
        <v>68</v>
      </c>
      <c r="E4" s="10" t="s">
        <v>50</v>
      </c>
      <c r="F4" s="10" t="s">
        <v>54</v>
      </c>
      <c r="G4" s="10" t="s">
        <v>55</v>
      </c>
      <c r="H4" s="10" t="s">
        <v>69</v>
      </c>
    </row>
    <row r="5" spans="1:8" x14ac:dyDescent="0.35">
      <c r="A5" s="14" t="s">
        <v>70</v>
      </c>
      <c r="B5" s="14"/>
      <c r="C5" s="14"/>
      <c r="D5" s="14"/>
      <c r="E5" s="14"/>
      <c r="F5" s="14"/>
      <c r="G5" s="14"/>
      <c r="H5" s="14"/>
    </row>
    <row r="108" spans="1:1" x14ac:dyDescent="0.35">
      <c r="A108" s="15" t="s">
        <v>60</v>
      </c>
    </row>
    <row r="109" spans="1:1" x14ac:dyDescent="0.35">
      <c r="A109" s="16" t="s">
        <v>61</v>
      </c>
    </row>
    <row r="110" spans="1:1" x14ac:dyDescent="0.35">
      <c r="A110" s="16" t="s">
        <v>62</v>
      </c>
    </row>
    <row r="111" spans="1:1" x14ac:dyDescent="0.35">
      <c r="A111" s="16" t="s">
        <v>63</v>
      </c>
    </row>
    <row r="112" spans="1:1" x14ac:dyDescent="0.35">
      <c r="A112" s="16" t="s">
        <v>64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2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8" width="16" customWidth="1"/>
  </cols>
  <sheetData>
    <row r="1" spans="1:8" ht="18" x14ac:dyDescent="0.4">
      <c r="A1" s="2" t="s">
        <v>71</v>
      </c>
    </row>
    <row r="2" spans="1:8" x14ac:dyDescent="0.35">
      <c r="A2" s="3" t="s">
        <v>47</v>
      </c>
    </row>
    <row r="4" spans="1:8" ht="30" customHeight="1" x14ac:dyDescent="0.35">
      <c r="A4" s="10" t="s">
        <v>66</v>
      </c>
      <c r="B4" s="10" t="s">
        <v>67</v>
      </c>
      <c r="C4" s="10" t="s">
        <v>72</v>
      </c>
      <c r="D4" s="10" t="s">
        <v>73</v>
      </c>
      <c r="E4" s="10" t="s">
        <v>54</v>
      </c>
      <c r="F4" s="10" t="s">
        <v>55</v>
      </c>
      <c r="G4" s="10" t="s">
        <v>74</v>
      </c>
      <c r="H4" s="10" t="s">
        <v>75</v>
      </c>
    </row>
    <row r="5" spans="1:8" x14ac:dyDescent="0.35">
      <c r="A5" s="14" t="s">
        <v>70</v>
      </c>
      <c r="B5" s="14"/>
      <c r="C5" s="14"/>
      <c r="D5" s="14"/>
      <c r="E5" s="14"/>
      <c r="F5" s="14"/>
      <c r="G5" s="14"/>
      <c r="H5" s="14"/>
    </row>
    <row r="108" spans="1:1" x14ac:dyDescent="0.35">
      <c r="A108" s="15" t="s">
        <v>60</v>
      </c>
    </row>
    <row r="109" spans="1:1" x14ac:dyDescent="0.35">
      <c r="A109" s="16" t="s">
        <v>61</v>
      </c>
    </row>
    <row r="110" spans="1:1" x14ac:dyDescent="0.35">
      <c r="A110" s="16" t="s">
        <v>62</v>
      </c>
    </row>
    <row r="111" spans="1:1" x14ac:dyDescent="0.35">
      <c r="A111" s="16" t="s">
        <v>63</v>
      </c>
    </row>
    <row r="112" spans="1:1" x14ac:dyDescent="0.35">
      <c r="A112" s="16" t="s">
        <v>64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2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1" width="16" customWidth="1"/>
  </cols>
  <sheetData>
    <row r="1" spans="1:11" ht="18" x14ac:dyDescent="0.4">
      <c r="A1" s="2" t="s">
        <v>76</v>
      </c>
    </row>
    <row r="2" spans="1:11" x14ac:dyDescent="0.35">
      <c r="A2" s="3" t="s">
        <v>47</v>
      </c>
    </row>
    <row r="4" spans="1:11" ht="30" customHeight="1" x14ac:dyDescent="0.35">
      <c r="A4" s="10" t="s">
        <v>77</v>
      </c>
      <c r="B4" s="10" t="s">
        <v>67</v>
      </c>
      <c r="C4" s="10" t="s">
        <v>78</v>
      </c>
      <c r="D4" s="10" t="s">
        <v>79</v>
      </c>
      <c r="E4" s="10" t="s">
        <v>80</v>
      </c>
      <c r="F4" s="10" t="s">
        <v>81</v>
      </c>
      <c r="G4" s="10" t="s">
        <v>82</v>
      </c>
      <c r="H4" s="10" t="s">
        <v>83</v>
      </c>
      <c r="I4" s="10" t="s">
        <v>84</v>
      </c>
      <c r="J4" s="10" t="s">
        <v>85</v>
      </c>
      <c r="K4" s="10" t="s">
        <v>86</v>
      </c>
    </row>
    <row r="5" spans="1:11" x14ac:dyDescent="0.35">
      <c r="A5" s="14" t="s">
        <v>87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108" spans="1:1" x14ac:dyDescent="0.35">
      <c r="A108" s="15" t="s">
        <v>60</v>
      </c>
    </row>
    <row r="109" spans="1:1" x14ac:dyDescent="0.35">
      <c r="A109" s="16" t="s">
        <v>61</v>
      </c>
    </row>
    <row r="110" spans="1:1" x14ac:dyDescent="0.35">
      <c r="A110" s="16" t="s">
        <v>62</v>
      </c>
    </row>
    <row r="111" spans="1:1" x14ac:dyDescent="0.35">
      <c r="A111" s="16" t="s">
        <v>63</v>
      </c>
    </row>
    <row r="112" spans="1:1" x14ac:dyDescent="0.35">
      <c r="A112" s="16" t="s">
        <v>64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2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8" width="16" customWidth="1"/>
  </cols>
  <sheetData>
    <row r="1" spans="1:8" ht="18" x14ac:dyDescent="0.4">
      <c r="A1" s="2" t="s">
        <v>88</v>
      </c>
    </row>
    <row r="2" spans="1:8" x14ac:dyDescent="0.35">
      <c r="A2" s="3" t="s">
        <v>47</v>
      </c>
    </row>
    <row r="4" spans="1:8" ht="30" customHeight="1" x14ac:dyDescent="0.35">
      <c r="A4" s="10" t="s">
        <v>22</v>
      </c>
      <c r="B4" s="10" t="s">
        <v>49</v>
      </c>
      <c r="C4" s="10" t="s">
        <v>48</v>
      </c>
      <c r="D4" s="10" t="s">
        <v>89</v>
      </c>
      <c r="E4" s="10" t="s">
        <v>90</v>
      </c>
      <c r="F4" s="10" t="s">
        <v>91</v>
      </c>
      <c r="G4" s="10" t="s">
        <v>92</v>
      </c>
      <c r="H4" s="10" t="s">
        <v>93</v>
      </c>
    </row>
    <row r="5" spans="1:8" x14ac:dyDescent="0.35">
      <c r="A5" s="14" t="s">
        <v>94</v>
      </c>
      <c r="B5" s="14"/>
      <c r="C5" s="14"/>
      <c r="D5" s="14"/>
      <c r="E5" s="14"/>
      <c r="F5" s="14"/>
      <c r="G5" s="14"/>
      <c r="H5" s="14"/>
    </row>
    <row r="108" spans="1:1" x14ac:dyDescent="0.35">
      <c r="A108" s="15" t="s">
        <v>60</v>
      </c>
    </row>
    <row r="109" spans="1:1" x14ac:dyDescent="0.35">
      <c r="A109" s="16" t="s">
        <v>61</v>
      </c>
    </row>
    <row r="110" spans="1:1" x14ac:dyDescent="0.35">
      <c r="A110" s="16" t="s">
        <v>62</v>
      </c>
    </row>
    <row r="111" spans="1:1" x14ac:dyDescent="0.35">
      <c r="A111" s="16" t="s">
        <v>63</v>
      </c>
    </row>
    <row r="112" spans="1:1" x14ac:dyDescent="0.35">
      <c r="A112" s="16" t="s">
        <v>64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2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8" width="16" customWidth="1"/>
  </cols>
  <sheetData>
    <row r="1" spans="1:8" ht="18" x14ac:dyDescent="0.4">
      <c r="A1" s="2" t="s">
        <v>95</v>
      </c>
    </row>
    <row r="2" spans="1:8" x14ac:dyDescent="0.35">
      <c r="A2" s="3" t="s">
        <v>47</v>
      </c>
    </row>
    <row r="4" spans="1:8" ht="30" customHeight="1" x14ac:dyDescent="0.35">
      <c r="A4" s="10" t="s">
        <v>96</v>
      </c>
      <c r="B4" s="10" t="s">
        <v>49</v>
      </c>
      <c r="C4" s="10" t="s">
        <v>48</v>
      </c>
      <c r="D4" s="10" t="s">
        <v>89</v>
      </c>
      <c r="E4" s="10" t="s">
        <v>90</v>
      </c>
      <c r="F4" s="10" t="s">
        <v>97</v>
      </c>
      <c r="G4" s="10" t="s">
        <v>92</v>
      </c>
      <c r="H4" s="10" t="s">
        <v>93</v>
      </c>
    </row>
    <row r="5" spans="1:8" x14ac:dyDescent="0.35">
      <c r="A5" s="14" t="s">
        <v>98</v>
      </c>
      <c r="B5" s="14"/>
      <c r="C5" s="14"/>
      <c r="D5" s="14"/>
      <c r="E5" s="14"/>
      <c r="F5" s="14"/>
      <c r="G5" s="14"/>
      <c r="H5" s="14"/>
    </row>
    <row r="108" spans="1:1" x14ac:dyDescent="0.35">
      <c r="A108" s="15" t="s">
        <v>60</v>
      </c>
    </row>
    <row r="109" spans="1:1" x14ac:dyDescent="0.35">
      <c r="A109" s="16" t="s">
        <v>61</v>
      </c>
    </row>
    <row r="110" spans="1:1" x14ac:dyDescent="0.35">
      <c r="A110" s="16" t="s">
        <v>62</v>
      </c>
    </row>
    <row r="111" spans="1:1" x14ac:dyDescent="0.35">
      <c r="A111" s="16" t="s">
        <v>63</v>
      </c>
    </row>
    <row r="112" spans="1:1" x14ac:dyDescent="0.35">
      <c r="A112" s="16" t="s">
        <v>64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2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8" width="16" customWidth="1"/>
  </cols>
  <sheetData>
    <row r="1" spans="1:8" ht="18" x14ac:dyDescent="0.4">
      <c r="A1" s="2" t="s">
        <v>99</v>
      </c>
    </row>
    <row r="2" spans="1:8" x14ac:dyDescent="0.35">
      <c r="A2" s="3" t="s">
        <v>47</v>
      </c>
    </row>
    <row r="4" spans="1:8" ht="30" customHeight="1" x14ac:dyDescent="0.35">
      <c r="A4" s="10" t="s">
        <v>48</v>
      </c>
      <c r="B4" s="10" t="s">
        <v>100</v>
      </c>
      <c r="C4" s="10" t="s">
        <v>49</v>
      </c>
      <c r="D4" s="10" t="s">
        <v>68</v>
      </c>
      <c r="E4" s="10" t="s">
        <v>50</v>
      </c>
      <c r="F4" s="10" t="s">
        <v>101</v>
      </c>
      <c r="G4" s="10" t="s">
        <v>102</v>
      </c>
      <c r="H4" s="10" t="s">
        <v>69</v>
      </c>
    </row>
    <row r="5" spans="1:8" x14ac:dyDescent="0.35">
      <c r="A5" s="14" t="s">
        <v>59</v>
      </c>
      <c r="B5" s="14"/>
      <c r="C5" s="14"/>
      <c r="D5" s="14"/>
      <c r="E5" s="14"/>
      <c r="F5" s="14"/>
      <c r="G5" s="14"/>
      <c r="H5" s="14"/>
    </row>
    <row r="108" spans="1:1" x14ac:dyDescent="0.35">
      <c r="A108" s="15" t="s">
        <v>60</v>
      </c>
    </row>
    <row r="109" spans="1:1" x14ac:dyDescent="0.35">
      <c r="A109" s="16" t="s">
        <v>61</v>
      </c>
    </row>
    <row r="110" spans="1:1" x14ac:dyDescent="0.35">
      <c r="A110" s="16" t="s">
        <v>62</v>
      </c>
    </row>
    <row r="111" spans="1:1" x14ac:dyDescent="0.35">
      <c r="A111" s="16" t="s">
        <v>63</v>
      </c>
    </row>
    <row r="112" spans="1:1" x14ac:dyDescent="0.35">
      <c r="A112" s="16" t="s">
        <v>64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2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7" width="16" customWidth="1"/>
  </cols>
  <sheetData>
    <row r="1" spans="1:7" ht="18" x14ac:dyDescent="0.4">
      <c r="A1" s="2" t="s">
        <v>103</v>
      </c>
    </row>
    <row r="2" spans="1:7" x14ac:dyDescent="0.35">
      <c r="A2" s="3" t="s">
        <v>47</v>
      </c>
    </row>
    <row r="4" spans="1:7" ht="30" customHeight="1" x14ac:dyDescent="0.35">
      <c r="A4" s="10" t="s">
        <v>48</v>
      </c>
      <c r="B4" s="10" t="s">
        <v>49</v>
      </c>
      <c r="C4" s="10" t="s">
        <v>68</v>
      </c>
      <c r="D4" s="10" t="s">
        <v>50</v>
      </c>
      <c r="E4" s="10" t="s">
        <v>104</v>
      </c>
      <c r="F4" s="10" t="s">
        <v>105</v>
      </c>
      <c r="G4" s="10" t="s">
        <v>69</v>
      </c>
    </row>
    <row r="5" spans="1:7" x14ac:dyDescent="0.35">
      <c r="A5" s="14" t="s">
        <v>59</v>
      </c>
      <c r="B5" s="14"/>
      <c r="C5" s="14"/>
      <c r="D5" s="14"/>
      <c r="E5" s="14"/>
      <c r="F5" s="14"/>
      <c r="G5" s="14"/>
    </row>
    <row r="108" spans="1:1" x14ac:dyDescent="0.35">
      <c r="A108" s="15" t="s">
        <v>60</v>
      </c>
    </row>
    <row r="109" spans="1:1" x14ac:dyDescent="0.35">
      <c r="A109" s="16" t="s">
        <v>61</v>
      </c>
    </row>
    <row r="110" spans="1:1" x14ac:dyDescent="0.35">
      <c r="A110" s="16" t="s">
        <v>62</v>
      </c>
    </row>
    <row r="111" spans="1:1" x14ac:dyDescent="0.35">
      <c r="A111" s="16" t="s">
        <v>63</v>
      </c>
    </row>
    <row r="112" spans="1:1" x14ac:dyDescent="0.35">
      <c r="A112" s="16" t="s">
        <v>64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0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20" customWidth="1"/>
    <col min="3" max="3" width="14" customWidth="1"/>
    <col min="4" max="4" width="18" customWidth="1"/>
    <col min="5" max="5" width="22" customWidth="1"/>
    <col min="6" max="6" width="14" customWidth="1"/>
    <col min="7" max="7" width="34" customWidth="1"/>
  </cols>
  <sheetData>
    <row r="1" spans="1:7" ht="18" x14ac:dyDescent="0.4">
      <c r="A1" s="2" t="s">
        <v>106</v>
      </c>
    </row>
    <row r="2" spans="1:7" x14ac:dyDescent="0.35">
      <c r="A2" s="3" t="s">
        <v>107</v>
      </c>
    </row>
    <row r="4" spans="1:7" ht="30" customHeight="1" x14ac:dyDescent="0.35">
      <c r="A4" s="10" t="s">
        <v>66</v>
      </c>
      <c r="B4" s="10" t="s">
        <v>67</v>
      </c>
      <c r="C4" s="10" t="s">
        <v>108</v>
      </c>
      <c r="D4" s="10" t="s">
        <v>109</v>
      </c>
      <c r="E4" s="10" t="s">
        <v>110</v>
      </c>
      <c r="F4" s="10" t="s">
        <v>111</v>
      </c>
      <c r="G4" s="10" t="s">
        <v>112</v>
      </c>
    </row>
    <row r="5" spans="1:7" x14ac:dyDescent="0.35">
      <c r="A5" s="17" t="s">
        <v>113</v>
      </c>
      <c r="B5" s="17" t="s">
        <v>114</v>
      </c>
      <c r="C5" s="17" t="s">
        <v>115</v>
      </c>
      <c r="D5" s="17" t="s">
        <v>115</v>
      </c>
      <c r="E5" s="17" t="s">
        <v>116</v>
      </c>
      <c r="F5" s="17" t="s">
        <v>117</v>
      </c>
      <c r="G5" s="17" t="s">
        <v>118</v>
      </c>
    </row>
    <row r="6" spans="1:7" x14ac:dyDescent="0.35">
      <c r="A6" s="17" t="s">
        <v>119</v>
      </c>
      <c r="B6" s="17" t="s">
        <v>120</v>
      </c>
      <c r="C6" s="17" t="s">
        <v>121</v>
      </c>
      <c r="D6" s="17" t="s">
        <v>122</v>
      </c>
      <c r="E6" s="17" t="s">
        <v>123</v>
      </c>
      <c r="F6" s="17" t="s">
        <v>117</v>
      </c>
      <c r="G6" s="17" t="s">
        <v>124</v>
      </c>
    </row>
    <row r="7" spans="1:7" x14ac:dyDescent="0.35">
      <c r="A7" s="17" t="s">
        <v>125</v>
      </c>
      <c r="B7" s="17" t="s">
        <v>126</v>
      </c>
      <c r="C7" s="17" t="s">
        <v>121</v>
      </c>
      <c r="D7" s="17" t="s">
        <v>122</v>
      </c>
      <c r="E7" s="17" t="s">
        <v>123</v>
      </c>
      <c r="F7" s="17" t="s">
        <v>117</v>
      </c>
      <c r="G7" s="17" t="s">
        <v>127</v>
      </c>
    </row>
    <row r="8" spans="1:7" x14ac:dyDescent="0.35">
      <c r="A8" s="17" t="s">
        <v>128</v>
      </c>
      <c r="B8" s="17" t="s">
        <v>126</v>
      </c>
      <c r="C8" s="17" t="s">
        <v>121</v>
      </c>
      <c r="D8" s="17" t="s">
        <v>122</v>
      </c>
      <c r="E8" s="17" t="s">
        <v>123</v>
      </c>
      <c r="F8" s="17" t="s">
        <v>117</v>
      </c>
      <c r="G8" s="17" t="s">
        <v>127</v>
      </c>
    </row>
    <row r="9" spans="1:7" x14ac:dyDescent="0.35">
      <c r="A9" s="17" t="s">
        <v>129</v>
      </c>
      <c r="B9" s="17" t="s">
        <v>126</v>
      </c>
      <c r="C9" s="17" t="s">
        <v>121</v>
      </c>
      <c r="D9" s="17" t="s">
        <v>122</v>
      </c>
      <c r="E9" s="17" t="s">
        <v>123</v>
      </c>
      <c r="F9" s="17" t="s">
        <v>117</v>
      </c>
      <c r="G9" s="17" t="s">
        <v>127</v>
      </c>
    </row>
    <row r="10" spans="1:7" x14ac:dyDescent="0.35">
      <c r="A10" s="17" t="s">
        <v>130</v>
      </c>
      <c r="B10" s="17" t="s">
        <v>131</v>
      </c>
      <c r="C10" s="17" t="s">
        <v>121</v>
      </c>
      <c r="D10" s="17" t="s">
        <v>132</v>
      </c>
      <c r="E10" s="17" t="s">
        <v>133</v>
      </c>
      <c r="F10" s="17" t="s">
        <v>134</v>
      </c>
      <c r="G10" s="17" t="s">
        <v>135</v>
      </c>
    </row>
    <row r="11" spans="1:7" x14ac:dyDescent="0.35">
      <c r="A11" s="17" t="s">
        <v>136</v>
      </c>
      <c r="B11" s="17" t="s">
        <v>131</v>
      </c>
      <c r="C11" s="17" t="s">
        <v>121</v>
      </c>
      <c r="D11" s="17" t="s">
        <v>132</v>
      </c>
      <c r="E11" s="17" t="s">
        <v>133</v>
      </c>
      <c r="F11" s="17" t="s">
        <v>134</v>
      </c>
      <c r="G11" s="17" t="s">
        <v>137</v>
      </c>
    </row>
    <row r="12" spans="1:7" x14ac:dyDescent="0.35">
      <c r="A12" s="17" t="s">
        <v>138</v>
      </c>
      <c r="B12" s="17" t="s">
        <v>131</v>
      </c>
      <c r="C12" s="17" t="s">
        <v>121</v>
      </c>
      <c r="D12" s="17" t="s">
        <v>132</v>
      </c>
      <c r="E12" s="17" t="s">
        <v>133</v>
      </c>
      <c r="F12" s="17" t="s">
        <v>134</v>
      </c>
      <c r="G12" s="17" t="s">
        <v>137</v>
      </c>
    </row>
    <row r="13" spans="1:7" x14ac:dyDescent="0.35">
      <c r="A13" s="17" t="s">
        <v>139</v>
      </c>
      <c r="B13" s="17" t="s">
        <v>131</v>
      </c>
      <c r="C13" s="17" t="s">
        <v>121</v>
      </c>
      <c r="D13" s="17" t="s">
        <v>132</v>
      </c>
      <c r="E13" s="17" t="s">
        <v>133</v>
      </c>
      <c r="F13" s="17" t="s">
        <v>134</v>
      </c>
      <c r="G13" s="17" t="s">
        <v>137</v>
      </c>
    </row>
    <row r="14" spans="1:7" x14ac:dyDescent="0.35">
      <c r="A14" s="17" t="s">
        <v>140</v>
      </c>
      <c r="B14" s="17" t="s">
        <v>131</v>
      </c>
      <c r="C14" s="17" t="s">
        <v>121</v>
      </c>
      <c r="D14" s="17" t="s">
        <v>132</v>
      </c>
      <c r="E14" s="17" t="s">
        <v>133</v>
      </c>
      <c r="F14" s="17" t="s">
        <v>134</v>
      </c>
      <c r="G14" s="17" t="s">
        <v>137</v>
      </c>
    </row>
    <row r="15" spans="1:7" x14ac:dyDescent="0.35">
      <c r="A15" s="17" t="s">
        <v>141</v>
      </c>
      <c r="B15" s="17" t="s">
        <v>131</v>
      </c>
      <c r="C15" s="17" t="s">
        <v>121</v>
      </c>
      <c r="D15" s="17" t="s">
        <v>132</v>
      </c>
      <c r="E15" s="17" t="s">
        <v>133</v>
      </c>
      <c r="F15" s="17" t="s">
        <v>134</v>
      </c>
      <c r="G15" s="17" t="s">
        <v>137</v>
      </c>
    </row>
    <row r="16" spans="1:7" x14ac:dyDescent="0.35">
      <c r="A16" s="17" t="s">
        <v>142</v>
      </c>
      <c r="B16" s="17" t="s">
        <v>131</v>
      </c>
      <c r="C16" s="17" t="s">
        <v>121</v>
      </c>
      <c r="D16" s="17" t="s">
        <v>132</v>
      </c>
      <c r="E16" s="17" t="s">
        <v>133</v>
      </c>
      <c r="F16" s="17" t="s">
        <v>134</v>
      </c>
      <c r="G16" s="17" t="s">
        <v>137</v>
      </c>
    </row>
    <row r="17" spans="1:7" x14ac:dyDescent="0.35">
      <c r="A17" s="17" t="s">
        <v>143</v>
      </c>
      <c r="B17" s="17" t="s">
        <v>131</v>
      </c>
      <c r="C17" s="17" t="s">
        <v>121</v>
      </c>
      <c r="D17" s="17" t="s">
        <v>132</v>
      </c>
      <c r="E17" s="17" t="s">
        <v>133</v>
      </c>
      <c r="F17" s="17" t="s">
        <v>134</v>
      </c>
      <c r="G17" s="17" t="s">
        <v>137</v>
      </c>
    </row>
    <row r="18" spans="1:7" x14ac:dyDescent="0.35">
      <c r="A18" s="17" t="s">
        <v>144</v>
      </c>
      <c r="B18" s="17" t="s">
        <v>131</v>
      </c>
      <c r="C18" s="17" t="s">
        <v>121</v>
      </c>
      <c r="D18" s="17" t="s">
        <v>132</v>
      </c>
      <c r="E18" s="17" t="s">
        <v>133</v>
      </c>
      <c r="F18" s="17" t="s">
        <v>134</v>
      </c>
      <c r="G18" s="17" t="s">
        <v>137</v>
      </c>
    </row>
    <row r="19" spans="1:7" x14ac:dyDescent="0.35">
      <c r="A19" s="17" t="s">
        <v>145</v>
      </c>
      <c r="B19" s="17" t="s">
        <v>131</v>
      </c>
      <c r="C19" s="17" t="s">
        <v>121</v>
      </c>
      <c r="D19" s="17" t="s">
        <v>132</v>
      </c>
      <c r="E19" s="17" t="s">
        <v>133</v>
      </c>
      <c r="F19" s="17" t="s">
        <v>134</v>
      </c>
      <c r="G19" s="17" t="s">
        <v>137</v>
      </c>
    </row>
    <row r="20" spans="1:7" x14ac:dyDescent="0.35">
      <c r="A20" s="17" t="s">
        <v>146</v>
      </c>
      <c r="B20" s="17" t="s">
        <v>131</v>
      </c>
      <c r="C20" s="17" t="s">
        <v>121</v>
      </c>
      <c r="D20" s="17" t="s">
        <v>132</v>
      </c>
      <c r="E20" s="17" t="s">
        <v>133</v>
      </c>
      <c r="F20" s="17" t="s">
        <v>134</v>
      </c>
      <c r="G20" s="17" t="s">
        <v>137</v>
      </c>
    </row>
    <row r="21" spans="1:7" x14ac:dyDescent="0.35">
      <c r="A21" s="17" t="s">
        <v>147</v>
      </c>
      <c r="B21" s="17" t="s">
        <v>131</v>
      </c>
      <c r="C21" s="17" t="s">
        <v>121</v>
      </c>
      <c r="D21" s="17" t="s">
        <v>132</v>
      </c>
      <c r="E21" s="17" t="s">
        <v>133</v>
      </c>
      <c r="F21" s="17" t="s">
        <v>134</v>
      </c>
      <c r="G21" s="17" t="s">
        <v>137</v>
      </c>
    </row>
    <row r="22" spans="1:7" x14ac:dyDescent="0.35">
      <c r="A22" s="17" t="s">
        <v>148</v>
      </c>
      <c r="B22" s="17" t="s">
        <v>148</v>
      </c>
      <c r="C22" s="17" t="s">
        <v>149</v>
      </c>
      <c r="D22" s="17" t="s">
        <v>149</v>
      </c>
      <c r="E22" s="17" t="s">
        <v>116</v>
      </c>
      <c r="F22" s="17" t="s">
        <v>117</v>
      </c>
      <c r="G22" s="17" t="s">
        <v>150</v>
      </c>
    </row>
    <row r="23" spans="1:7" x14ac:dyDescent="0.35">
      <c r="A23" s="17" t="s">
        <v>151</v>
      </c>
      <c r="B23" s="17" t="s">
        <v>151</v>
      </c>
      <c r="C23" s="17" t="s">
        <v>152</v>
      </c>
      <c r="D23" s="17" t="s">
        <v>152</v>
      </c>
      <c r="E23" s="17" t="s">
        <v>123</v>
      </c>
      <c r="F23" s="17" t="s">
        <v>117</v>
      </c>
      <c r="G23" s="17"/>
    </row>
    <row r="24" spans="1:7" x14ac:dyDescent="0.35">
      <c r="A24" s="17" t="s">
        <v>153</v>
      </c>
      <c r="B24" s="17" t="s">
        <v>154</v>
      </c>
      <c r="C24" s="17" t="s">
        <v>152</v>
      </c>
      <c r="D24" s="17" t="s">
        <v>152</v>
      </c>
      <c r="E24" s="17" t="s">
        <v>116</v>
      </c>
      <c r="F24" s="17" t="s">
        <v>117</v>
      </c>
      <c r="G24" s="17" t="s">
        <v>155</v>
      </c>
    </row>
    <row r="25" spans="1:7" x14ac:dyDescent="0.35">
      <c r="A25" s="17" t="s">
        <v>156</v>
      </c>
      <c r="B25" s="17" t="s">
        <v>157</v>
      </c>
      <c r="C25" s="17" t="s">
        <v>149</v>
      </c>
      <c r="D25" s="17" t="s">
        <v>158</v>
      </c>
      <c r="E25" s="17" t="s">
        <v>116</v>
      </c>
      <c r="F25" s="17" t="s">
        <v>117</v>
      </c>
      <c r="G25" s="17"/>
    </row>
    <row r="26" spans="1:7" x14ac:dyDescent="0.35">
      <c r="A26" s="17" t="s">
        <v>159</v>
      </c>
      <c r="B26" s="17" t="s">
        <v>157</v>
      </c>
      <c r="C26" s="17" t="s">
        <v>149</v>
      </c>
      <c r="D26" s="17" t="s">
        <v>158</v>
      </c>
      <c r="E26" s="17" t="s">
        <v>133</v>
      </c>
      <c r="F26" s="17" t="s">
        <v>117</v>
      </c>
      <c r="G26" s="17"/>
    </row>
    <row r="27" spans="1:7" x14ac:dyDescent="0.35">
      <c r="A27" s="17" t="s">
        <v>160</v>
      </c>
      <c r="B27" s="17" t="s">
        <v>161</v>
      </c>
      <c r="C27" s="17" t="s">
        <v>149</v>
      </c>
      <c r="D27" s="17" t="s">
        <v>160</v>
      </c>
      <c r="E27" s="17" t="s">
        <v>123</v>
      </c>
      <c r="F27" s="17" t="s">
        <v>117</v>
      </c>
      <c r="G27" s="17"/>
    </row>
    <row r="28" spans="1:7" x14ac:dyDescent="0.35">
      <c r="A28" s="17" t="s">
        <v>162</v>
      </c>
      <c r="B28" s="17" t="s">
        <v>163</v>
      </c>
      <c r="C28" s="17" t="s">
        <v>149</v>
      </c>
      <c r="D28" s="17" t="s">
        <v>164</v>
      </c>
      <c r="E28" s="17" t="s">
        <v>123</v>
      </c>
      <c r="F28" s="17" t="s">
        <v>117</v>
      </c>
      <c r="G28" s="17" t="s">
        <v>165</v>
      </c>
    </row>
    <row r="29" spans="1:7" x14ac:dyDescent="0.35">
      <c r="A29" s="17" t="s">
        <v>166</v>
      </c>
      <c r="B29" s="17" t="s">
        <v>167</v>
      </c>
      <c r="C29" s="17" t="s">
        <v>152</v>
      </c>
      <c r="D29" s="17" t="s">
        <v>168</v>
      </c>
      <c r="E29" s="17" t="s">
        <v>123</v>
      </c>
      <c r="F29" s="17" t="s">
        <v>117</v>
      </c>
      <c r="G29" s="17"/>
    </row>
    <row r="30" spans="1:7" x14ac:dyDescent="0.35">
      <c r="A30" s="17" t="s">
        <v>169</v>
      </c>
      <c r="B30" s="17" t="s">
        <v>167</v>
      </c>
      <c r="C30" s="17" t="s">
        <v>149</v>
      </c>
      <c r="D30" s="17" t="s">
        <v>168</v>
      </c>
      <c r="E30" s="17" t="s">
        <v>123</v>
      </c>
      <c r="F30" s="17" t="s">
        <v>117</v>
      </c>
      <c r="G30" s="17"/>
    </row>
    <row r="31" spans="1:7" x14ac:dyDescent="0.35">
      <c r="A31" s="17" t="s">
        <v>170</v>
      </c>
      <c r="B31" s="17" t="s">
        <v>171</v>
      </c>
      <c r="C31" s="17" t="s">
        <v>152</v>
      </c>
      <c r="D31" s="17" t="s">
        <v>172</v>
      </c>
      <c r="E31" s="17" t="s">
        <v>123</v>
      </c>
      <c r="F31" s="17" t="s">
        <v>117</v>
      </c>
      <c r="G31" s="17"/>
    </row>
    <row r="32" spans="1:7" x14ac:dyDescent="0.35">
      <c r="A32" s="17" t="s">
        <v>173</v>
      </c>
      <c r="B32" s="17" t="s">
        <v>173</v>
      </c>
      <c r="C32" s="17" t="s">
        <v>152</v>
      </c>
      <c r="D32" s="17" t="s">
        <v>174</v>
      </c>
      <c r="E32" s="17" t="s">
        <v>123</v>
      </c>
      <c r="F32" s="17" t="s">
        <v>117</v>
      </c>
      <c r="G32" s="17"/>
    </row>
    <row r="33" spans="1:7" x14ac:dyDescent="0.35">
      <c r="A33" s="17" t="s">
        <v>175</v>
      </c>
      <c r="B33" s="17" t="s">
        <v>176</v>
      </c>
      <c r="C33" s="17" t="s">
        <v>177</v>
      </c>
      <c r="D33" s="17" t="s">
        <v>176</v>
      </c>
      <c r="E33" s="17" t="s">
        <v>178</v>
      </c>
      <c r="F33" s="17" t="s">
        <v>117</v>
      </c>
      <c r="G33" s="17" t="s">
        <v>179</v>
      </c>
    </row>
    <row r="34" spans="1:7" x14ac:dyDescent="0.35">
      <c r="A34" s="17" t="s">
        <v>180</v>
      </c>
      <c r="B34" s="17" t="s">
        <v>176</v>
      </c>
      <c r="C34" s="17" t="s">
        <v>177</v>
      </c>
      <c r="D34" s="17" t="s">
        <v>176</v>
      </c>
      <c r="E34" s="17" t="s">
        <v>178</v>
      </c>
      <c r="F34" s="17" t="s">
        <v>117</v>
      </c>
      <c r="G34" s="17" t="s">
        <v>179</v>
      </c>
    </row>
    <row r="37" spans="1:7" x14ac:dyDescent="0.35">
      <c r="A37" s="15" t="s">
        <v>60</v>
      </c>
    </row>
    <row r="38" spans="1:7" x14ac:dyDescent="0.35">
      <c r="A38" s="16" t="s">
        <v>181</v>
      </c>
    </row>
    <row r="39" spans="1:7" x14ac:dyDescent="0.35">
      <c r="A39" s="16" t="s">
        <v>182</v>
      </c>
    </row>
    <row r="40" spans="1:7" x14ac:dyDescent="0.35">
      <c r="A40" s="16" t="s">
        <v>183</v>
      </c>
    </row>
  </sheetData>
  <dataValidations count="3">
    <dataValidation type="list" allowBlank="1" sqref="D5:D234" xr:uid="{00000000-0002-0000-0900-000000000000}">
      <formula1>"Asset,Liability,Income,Expense,Direct Cost,Indirect Cost,Bank,Cash,Stock,GST,Loan,Capital,Intercompany,Asset/Liability"</formula1>
      <formula2>0</formula2>
    </dataValidation>
    <dataValidation type="list" allowBlank="1" sqref="E5:E234" xr:uid="{00000000-0002-0000-0900-000001000000}">
      <formula1>"Old Company,New Company,Split by Flag,Both"</formula1>
      <formula2>0</formula2>
    </dataValidation>
    <dataValidation type="list" allowBlank="1" sqref="F5:F234" xr:uid="{00000000-0002-0000-0900-000002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518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11" customWidth="1"/>
    <col min="2" max="2" width="14" customWidth="1"/>
    <col min="3" max="3" width="12" customWidth="1"/>
    <col min="4" max="4" width="22" customWidth="1"/>
    <col min="5" max="5" width="16" customWidth="1"/>
    <col min="6" max="6" width="24" customWidth="1"/>
    <col min="7" max="9" width="12" customWidth="1"/>
    <col min="10" max="10" width="10" customWidth="1"/>
    <col min="11" max="11" width="20" customWidth="1"/>
    <col min="12" max="13" width="14" customWidth="1"/>
    <col min="14" max="15" width="12" customWidth="1"/>
    <col min="16" max="16" width="10" customWidth="1"/>
    <col min="17" max="18" width="11" customWidth="1"/>
    <col min="19" max="19" width="9" customWidth="1"/>
    <col min="20" max="20" width="14" customWidth="1"/>
    <col min="21" max="21" width="15" customWidth="1"/>
    <col min="22" max="22" width="14" customWidth="1"/>
    <col min="23" max="23" width="20" customWidth="1"/>
    <col min="24" max="24" width="14" customWidth="1"/>
  </cols>
  <sheetData>
    <row r="1" spans="1:24" ht="18" x14ac:dyDescent="0.4">
      <c r="A1" s="2" t="s">
        <v>184</v>
      </c>
    </row>
    <row r="2" spans="1:24" x14ac:dyDescent="0.35">
      <c r="A2" s="3" t="s">
        <v>185</v>
      </c>
    </row>
    <row r="5" spans="1:24" ht="30" customHeight="1" x14ac:dyDescent="0.35">
      <c r="A5" s="10" t="s">
        <v>48</v>
      </c>
      <c r="B5" s="10" t="s">
        <v>186</v>
      </c>
      <c r="C5" s="10" t="s">
        <v>50</v>
      </c>
      <c r="D5" s="10" t="s">
        <v>51</v>
      </c>
      <c r="E5" s="10" t="s">
        <v>52</v>
      </c>
      <c r="F5" s="10" t="s">
        <v>53</v>
      </c>
      <c r="G5" s="10" t="s">
        <v>54</v>
      </c>
      <c r="H5" s="10" t="s">
        <v>55</v>
      </c>
      <c r="I5" s="10" t="s">
        <v>56</v>
      </c>
      <c r="J5" s="10" t="s">
        <v>168</v>
      </c>
      <c r="K5" s="10" t="s">
        <v>93</v>
      </c>
      <c r="L5" s="10" t="s">
        <v>22</v>
      </c>
      <c r="M5" s="10" t="s">
        <v>96</v>
      </c>
      <c r="N5" s="10" t="s">
        <v>187</v>
      </c>
      <c r="O5" s="10" t="s">
        <v>158</v>
      </c>
      <c r="P5" s="10" t="s">
        <v>160</v>
      </c>
      <c r="Q5" s="10" t="s">
        <v>188</v>
      </c>
      <c r="R5" s="10" t="s">
        <v>189</v>
      </c>
      <c r="S5" s="10" t="s">
        <v>190</v>
      </c>
      <c r="T5" s="10" t="s">
        <v>191</v>
      </c>
      <c r="U5" s="10" t="s">
        <v>192</v>
      </c>
      <c r="V5" s="10" t="s">
        <v>193</v>
      </c>
      <c r="W5" s="10" t="s">
        <v>194</v>
      </c>
      <c r="X5" s="10" t="s">
        <v>195</v>
      </c>
    </row>
    <row r="6" spans="1:24" x14ac:dyDescent="0.35">
      <c r="A6" s="18" t="s">
        <v>196</v>
      </c>
      <c r="B6" s="17" t="s">
        <v>197</v>
      </c>
      <c r="C6" s="17" t="s">
        <v>198</v>
      </c>
      <c r="D6" s="17" t="s">
        <v>119</v>
      </c>
      <c r="E6" s="17" t="s">
        <v>199</v>
      </c>
      <c r="F6" s="17" t="s">
        <v>200</v>
      </c>
      <c r="G6" s="19">
        <v>185000</v>
      </c>
      <c r="H6" s="19">
        <v>0</v>
      </c>
      <c r="I6" s="20">
        <f t="shared" ref="I6:I69" si="0">IF(OR(G6&lt;&gt;"",H6&lt;&gt;""),G6-H6,"")</f>
        <v>185000</v>
      </c>
      <c r="J6" s="19">
        <v>9250</v>
      </c>
      <c r="K6" s="17" t="s">
        <v>25</v>
      </c>
      <c r="L6" s="17" t="s">
        <v>26</v>
      </c>
      <c r="M6" s="17"/>
      <c r="N6" s="17" t="s">
        <v>158</v>
      </c>
      <c r="O6" s="17" t="s">
        <v>159</v>
      </c>
      <c r="P6" s="17"/>
      <c r="Q6" s="21" t="str">
        <f t="shared" ref="Q6:Q69" si="1">IFERROR(IF(K6="","N/A",IF(ISNUMBER(MATCH(K6,OLD_PROJECTS,0)),"Yes","No")),"N/A")</f>
        <v>No</v>
      </c>
      <c r="R6" s="21" t="str">
        <f t="shared" ref="R6:R69" si="2">IFERROR(IF(K6="","N/A",IF(Q6="Yes","No","Yes")),"N/A")</f>
        <v>Yes</v>
      </c>
      <c r="S6" s="17" t="s">
        <v>201</v>
      </c>
      <c r="T6" s="21" t="str">
        <f t="shared" ref="T6:T69" si="3">IFERROR(IF(S6="","",IF(S6="SHARED","Yes",IF(AND(INDEX(COA_OVERHEAD,MATCH(D6,COA_LEDGER,0))="Y",S6="OLD"),"Yes",IF(AND(INDEX(COA_CLASS,MATCH(D6,COA_LEDGER,0))="Income",S6="NEW",Q6="Yes"),"Yes","No")))),"Check Ledger")</f>
        <v>No</v>
      </c>
      <c r="U6" s="17" t="s">
        <v>202</v>
      </c>
      <c r="V6" s="21" t="str">
        <f t="shared" ref="V6:V69" si="4">IFERROR(IF(D6="","",IF(INDEX(COA_COMPANY,MATCH(D6,COA_LEDGER,0))="New Company","NEW",IF(INDEX(COA_COMPANY,MATCH(D6,COA_LEDGER,0))="Old Company","OLD",IF(Q6="Yes","OLD","NEW")))),"Check Ledger")</f>
        <v>NEW</v>
      </c>
      <c r="W6" s="17" t="s">
        <v>203</v>
      </c>
      <c r="X6" s="21" t="str">
        <f t="shared" ref="X6:X69" si="5">IFERROR(IF(B6="","",IF(ROUND(SUMIF(TXN_VNO,B6,TXN_DEBIT)-SUMIF(TXN_VNO,B6,TXN_CREDIT),2)=0,"Yes","No")),"")</f>
        <v>No</v>
      </c>
    </row>
    <row r="7" spans="1:24" x14ac:dyDescent="0.35">
      <c r="A7" s="18" t="s">
        <v>204</v>
      </c>
      <c r="B7" s="17" t="s">
        <v>205</v>
      </c>
      <c r="C7" s="17" t="s">
        <v>206</v>
      </c>
      <c r="D7" s="17" t="s">
        <v>130</v>
      </c>
      <c r="E7" s="17" t="s">
        <v>207</v>
      </c>
      <c r="F7" s="17" t="s">
        <v>208</v>
      </c>
      <c r="G7" s="19">
        <v>45000</v>
      </c>
      <c r="H7" s="19">
        <v>0</v>
      </c>
      <c r="I7" s="20">
        <f t="shared" si="0"/>
        <v>45000</v>
      </c>
      <c r="J7" s="19">
        <v>0</v>
      </c>
      <c r="K7" s="17"/>
      <c r="L7" s="17"/>
      <c r="M7" s="17"/>
      <c r="N7" s="17" t="s">
        <v>158</v>
      </c>
      <c r="O7" s="17" t="s">
        <v>159</v>
      </c>
      <c r="P7" s="17"/>
      <c r="Q7" s="21" t="str">
        <f t="shared" si="1"/>
        <v>N/A</v>
      </c>
      <c r="R7" s="21" t="str">
        <f t="shared" si="2"/>
        <v>N/A</v>
      </c>
      <c r="S7" s="17" t="s">
        <v>209</v>
      </c>
      <c r="T7" s="21" t="str">
        <f t="shared" si="3"/>
        <v>No</v>
      </c>
      <c r="U7" s="17" t="s">
        <v>210</v>
      </c>
      <c r="V7" s="21" t="str">
        <f t="shared" si="4"/>
        <v>NEW</v>
      </c>
      <c r="W7" s="17" t="s">
        <v>211</v>
      </c>
      <c r="X7" s="21" t="str">
        <f t="shared" si="5"/>
        <v>No</v>
      </c>
    </row>
    <row r="8" spans="1:24" x14ac:dyDescent="0.35">
      <c r="A8" s="18" t="s">
        <v>212</v>
      </c>
      <c r="B8" s="17" t="s">
        <v>213</v>
      </c>
      <c r="C8" s="17" t="s">
        <v>214</v>
      </c>
      <c r="D8" s="17" t="s">
        <v>113</v>
      </c>
      <c r="E8" s="17" t="s">
        <v>28</v>
      </c>
      <c r="F8" s="17" t="s">
        <v>215</v>
      </c>
      <c r="G8" s="19">
        <v>0</v>
      </c>
      <c r="H8" s="19">
        <v>950000</v>
      </c>
      <c r="I8" s="20">
        <f t="shared" si="0"/>
        <v>-950000</v>
      </c>
      <c r="J8" s="19">
        <v>171000</v>
      </c>
      <c r="K8" s="17" t="s">
        <v>27</v>
      </c>
      <c r="L8" s="17" t="s">
        <v>28</v>
      </c>
      <c r="M8" s="17"/>
      <c r="N8" s="17" t="s">
        <v>158</v>
      </c>
      <c r="O8" s="17" t="s">
        <v>156</v>
      </c>
      <c r="P8" s="17"/>
      <c r="Q8" s="21" t="str">
        <f t="shared" si="1"/>
        <v>No</v>
      </c>
      <c r="R8" s="21" t="str">
        <f t="shared" si="2"/>
        <v>Yes</v>
      </c>
      <c r="S8" s="17" t="s">
        <v>201</v>
      </c>
      <c r="T8" s="21" t="str">
        <f t="shared" si="3"/>
        <v>No</v>
      </c>
      <c r="U8" s="17" t="s">
        <v>210</v>
      </c>
      <c r="V8" s="21" t="str">
        <f t="shared" si="4"/>
        <v>OLD</v>
      </c>
      <c r="W8" s="17" t="s">
        <v>216</v>
      </c>
      <c r="X8" s="21" t="str">
        <f t="shared" si="5"/>
        <v>No</v>
      </c>
    </row>
    <row r="9" spans="1:24" x14ac:dyDescent="0.35">
      <c r="I9" s="21" t="str">
        <f t="shared" si="0"/>
        <v/>
      </c>
      <c r="Q9" s="21" t="str">
        <f t="shared" si="1"/>
        <v>N/A</v>
      </c>
      <c r="R9" s="21" t="str">
        <f t="shared" si="2"/>
        <v>N/A</v>
      </c>
      <c r="T9" s="21" t="str">
        <f t="shared" si="3"/>
        <v/>
      </c>
      <c r="V9" s="21" t="str">
        <f t="shared" si="4"/>
        <v/>
      </c>
      <c r="X9" s="21" t="str">
        <f t="shared" si="5"/>
        <v/>
      </c>
    </row>
    <row r="10" spans="1:24" x14ac:dyDescent="0.35">
      <c r="I10" s="21" t="str">
        <f t="shared" si="0"/>
        <v/>
      </c>
      <c r="Q10" s="21" t="str">
        <f t="shared" si="1"/>
        <v>N/A</v>
      </c>
      <c r="R10" s="21" t="str">
        <f t="shared" si="2"/>
        <v>N/A</v>
      </c>
      <c r="T10" s="21" t="str">
        <f t="shared" si="3"/>
        <v/>
      </c>
      <c r="V10" s="21" t="str">
        <f t="shared" si="4"/>
        <v/>
      </c>
      <c r="X10" s="21" t="str">
        <f t="shared" si="5"/>
        <v/>
      </c>
    </row>
    <row r="11" spans="1:24" x14ac:dyDescent="0.35">
      <c r="I11" s="21" t="str">
        <f t="shared" si="0"/>
        <v/>
      </c>
      <c r="Q11" s="21" t="str">
        <f t="shared" si="1"/>
        <v>N/A</v>
      </c>
      <c r="R11" s="21" t="str">
        <f t="shared" si="2"/>
        <v>N/A</v>
      </c>
      <c r="T11" s="21" t="str">
        <f t="shared" si="3"/>
        <v/>
      </c>
      <c r="V11" s="21" t="str">
        <f t="shared" si="4"/>
        <v/>
      </c>
      <c r="X11" s="21" t="str">
        <f t="shared" si="5"/>
        <v/>
      </c>
    </row>
    <row r="12" spans="1:24" x14ac:dyDescent="0.35">
      <c r="I12" s="21" t="str">
        <f t="shared" si="0"/>
        <v/>
      </c>
      <c r="Q12" s="21" t="str">
        <f t="shared" si="1"/>
        <v>N/A</v>
      </c>
      <c r="R12" s="21" t="str">
        <f t="shared" si="2"/>
        <v>N/A</v>
      </c>
      <c r="T12" s="21" t="str">
        <f t="shared" si="3"/>
        <v/>
      </c>
      <c r="V12" s="21" t="str">
        <f t="shared" si="4"/>
        <v/>
      </c>
      <c r="X12" s="21" t="str">
        <f t="shared" si="5"/>
        <v/>
      </c>
    </row>
    <row r="13" spans="1:24" x14ac:dyDescent="0.35">
      <c r="I13" s="21" t="str">
        <f t="shared" si="0"/>
        <v/>
      </c>
      <c r="Q13" s="21" t="str">
        <f t="shared" si="1"/>
        <v>N/A</v>
      </c>
      <c r="R13" s="21" t="str">
        <f t="shared" si="2"/>
        <v>N/A</v>
      </c>
      <c r="T13" s="21" t="str">
        <f t="shared" si="3"/>
        <v/>
      </c>
      <c r="V13" s="21" t="str">
        <f t="shared" si="4"/>
        <v/>
      </c>
      <c r="X13" s="21" t="str">
        <f t="shared" si="5"/>
        <v/>
      </c>
    </row>
    <row r="14" spans="1:24" x14ac:dyDescent="0.35">
      <c r="I14" s="21" t="str">
        <f t="shared" si="0"/>
        <v/>
      </c>
      <c r="Q14" s="21" t="str">
        <f t="shared" si="1"/>
        <v>N/A</v>
      </c>
      <c r="R14" s="21" t="str">
        <f t="shared" si="2"/>
        <v>N/A</v>
      </c>
      <c r="T14" s="21" t="str">
        <f t="shared" si="3"/>
        <v/>
      </c>
      <c r="V14" s="21" t="str">
        <f t="shared" si="4"/>
        <v/>
      </c>
      <c r="X14" s="21" t="str">
        <f t="shared" si="5"/>
        <v/>
      </c>
    </row>
    <row r="15" spans="1:24" x14ac:dyDescent="0.35">
      <c r="I15" s="21" t="str">
        <f t="shared" si="0"/>
        <v/>
      </c>
      <c r="Q15" s="21" t="str">
        <f t="shared" si="1"/>
        <v>N/A</v>
      </c>
      <c r="R15" s="21" t="str">
        <f t="shared" si="2"/>
        <v>N/A</v>
      </c>
      <c r="T15" s="21" t="str">
        <f t="shared" si="3"/>
        <v/>
      </c>
      <c r="V15" s="21" t="str">
        <f t="shared" si="4"/>
        <v/>
      </c>
      <c r="X15" s="21" t="str">
        <f t="shared" si="5"/>
        <v/>
      </c>
    </row>
    <row r="16" spans="1:24" x14ac:dyDescent="0.35">
      <c r="I16" s="21" t="str">
        <f t="shared" si="0"/>
        <v/>
      </c>
      <c r="Q16" s="21" t="str">
        <f t="shared" si="1"/>
        <v>N/A</v>
      </c>
      <c r="R16" s="21" t="str">
        <f t="shared" si="2"/>
        <v>N/A</v>
      </c>
      <c r="T16" s="21" t="str">
        <f t="shared" si="3"/>
        <v/>
      </c>
      <c r="V16" s="21" t="str">
        <f t="shared" si="4"/>
        <v/>
      </c>
      <c r="X16" s="21" t="str">
        <f t="shared" si="5"/>
        <v/>
      </c>
    </row>
    <row r="17" spans="9:24" x14ac:dyDescent="0.35">
      <c r="I17" s="21" t="str">
        <f t="shared" si="0"/>
        <v/>
      </c>
      <c r="Q17" s="21" t="str">
        <f t="shared" si="1"/>
        <v>N/A</v>
      </c>
      <c r="R17" s="21" t="str">
        <f t="shared" si="2"/>
        <v>N/A</v>
      </c>
      <c r="T17" s="21" t="str">
        <f t="shared" si="3"/>
        <v/>
      </c>
      <c r="V17" s="21" t="str">
        <f t="shared" si="4"/>
        <v/>
      </c>
      <c r="X17" s="21" t="str">
        <f t="shared" si="5"/>
        <v/>
      </c>
    </row>
    <row r="18" spans="9:24" x14ac:dyDescent="0.35">
      <c r="I18" s="21" t="str">
        <f t="shared" si="0"/>
        <v/>
      </c>
      <c r="Q18" s="21" t="str">
        <f t="shared" si="1"/>
        <v>N/A</v>
      </c>
      <c r="R18" s="21" t="str">
        <f t="shared" si="2"/>
        <v>N/A</v>
      </c>
      <c r="T18" s="21" t="str">
        <f t="shared" si="3"/>
        <v/>
      </c>
      <c r="V18" s="21" t="str">
        <f t="shared" si="4"/>
        <v/>
      </c>
      <c r="X18" s="21" t="str">
        <f t="shared" si="5"/>
        <v/>
      </c>
    </row>
    <row r="19" spans="9:24" x14ac:dyDescent="0.35">
      <c r="I19" s="21" t="str">
        <f t="shared" si="0"/>
        <v/>
      </c>
      <c r="Q19" s="21" t="str">
        <f t="shared" si="1"/>
        <v>N/A</v>
      </c>
      <c r="R19" s="21" t="str">
        <f t="shared" si="2"/>
        <v>N/A</v>
      </c>
      <c r="T19" s="21" t="str">
        <f t="shared" si="3"/>
        <v/>
      </c>
      <c r="V19" s="21" t="str">
        <f t="shared" si="4"/>
        <v/>
      </c>
      <c r="X19" s="21" t="str">
        <f t="shared" si="5"/>
        <v/>
      </c>
    </row>
    <row r="20" spans="9:24" x14ac:dyDescent="0.35">
      <c r="I20" s="21" t="str">
        <f t="shared" si="0"/>
        <v/>
      </c>
      <c r="Q20" s="21" t="str">
        <f t="shared" si="1"/>
        <v>N/A</v>
      </c>
      <c r="R20" s="21" t="str">
        <f t="shared" si="2"/>
        <v>N/A</v>
      </c>
      <c r="T20" s="21" t="str">
        <f t="shared" si="3"/>
        <v/>
      </c>
      <c r="V20" s="21" t="str">
        <f t="shared" si="4"/>
        <v/>
      </c>
      <c r="X20" s="21" t="str">
        <f t="shared" si="5"/>
        <v/>
      </c>
    </row>
    <row r="21" spans="9:24" x14ac:dyDescent="0.35">
      <c r="I21" s="21" t="str">
        <f t="shared" si="0"/>
        <v/>
      </c>
      <c r="Q21" s="21" t="str">
        <f t="shared" si="1"/>
        <v>N/A</v>
      </c>
      <c r="R21" s="21" t="str">
        <f t="shared" si="2"/>
        <v>N/A</v>
      </c>
      <c r="T21" s="21" t="str">
        <f t="shared" si="3"/>
        <v/>
      </c>
      <c r="V21" s="21" t="str">
        <f t="shared" si="4"/>
        <v/>
      </c>
      <c r="X21" s="21" t="str">
        <f t="shared" si="5"/>
        <v/>
      </c>
    </row>
    <row r="22" spans="9:24" x14ac:dyDescent="0.35">
      <c r="I22" s="21" t="str">
        <f t="shared" si="0"/>
        <v/>
      </c>
      <c r="Q22" s="21" t="str">
        <f t="shared" si="1"/>
        <v>N/A</v>
      </c>
      <c r="R22" s="21" t="str">
        <f t="shared" si="2"/>
        <v>N/A</v>
      </c>
      <c r="T22" s="21" t="str">
        <f t="shared" si="3"/>
        <v/>
      </c>
      <c r="V22" s="21" t="str">
        <f t="shared" si="4"/>
        <v/>
      </c>
      <c r="X22" s="21" t="str">
        <f t="shared" si="5"/>
        <v/>
      </c>
    </row>
    <row r="23" spans="9:24" x14ac:dyDescent="0.35">
      <c r="I23" s="21" t="str">
        <f t="shared" si="0"/>
        <v/>
      </c>
      <c r="Q23" s="21" t="str">
        <f t="shared" si="1"/>
        <v>N/A</v>
      </c>
      <c r="R23" s="21" t="str">
        <f t="shared" si="2"/>
        <v>N/A</v>
      </c>
      <c r="T23" s="21" t="str">
        <f t="shared" si="3"/>
        <v/>
      </c>
      <c r="V23" s="21" t="str">
        <f t="shared" si="4"/>
        <v/>
      </c>
      <c r="X23" s="21" t="str">
        <f t="shared" si="5"/>
        <v/>
      </c>
    </row>
    <row r="24" spans="9:24" x14ac:dyDescent="0.35">
      <c r="I24" s="21" t="str">
        <f t="shared" si="0"/>
        <v/>
      </c>
      <c r="Q24" s="21" t="str">
        <f t="shared" si="1"/>
        <v>N/A</v>
      </c>
      <c r="R24" s="21" t="str">
        <f t="shared" si="2"/>
        <v>N/A</v>
      </c>
      <c r="T24" s="21" t="str">
        <f t="shared" si="3"/>
        <v/>
      </c>
      <c r="V24" s="21" t="str">
        <f t="shared" si="4"/>
        <v/>
      </c>
      <c r="X24" s="21" t="str">
        <f t="shared" si="5"/>
        <v/>
      </c>
    </row>
    <row r="25" spans="9:24" x14ac:dyDescent="0.35">
      <c r="I25" s="21" t="str">
        <f t="shared" si="0"/>
        <v/>
      </c>
      <c r="Q25" s="21" t="str">
        <f t="shared" si="1"/>
        <v>N/A</v>
      </c>
      <c r="R25" s="21" t="str">
        <f t="shared" si="2"/>
        <v>N/A</v>
      </c>
      <c r="T25" s="21" t="str">
        <f t="shared" si="3"/>
        <v/>
      </c>
      <c r="V25" s="21" t="str">
        <f t="shared" si="4"/>
        <v/>
      </c>
      <c r="X25" s="21" t="str">
        <f t="shared" si="5"/>
        <v/>
      </c>
    </row>
    <row r="26" spans="9:24" x14ac:dyDescent="0.35">
      <c r="I26" s="21" t="str">
        <f t="shared" si="0"/>
        <v/>
      </c>
      <c r="Q26" s="21" t="str">
        <f t="shared" si="1"/>
        <v>N/A</v>
      </c>
      <c r="R26" s="21" t="str">
        <f t="shared" si="2"/>
        <v>N/A</v>
      </c>
      <c r="T26" s="21" t="str">
        <f t="shared" si="3"/>
        <v/>
      </c>
      <c r="V26" s="21" t="str">
        <f t="shared" si="4"/>
        <v/>
      </c>
      <c r="X26" s="21" t="str">
        <f t="shared" si="5"/>
        <v/>
      </c>
    </row>
    <row r="27" spans="9:24" x14ac:dyDescent="0.35">
      <c r="I27" s="21" t="str">
        <f t="shared" si="0"/>
        <v/>
      </c>
      <c r="Q27" s="21" t="str">
        <f t="shared" si="1"/>
        <v>N/A</v>
      </c>
      <c r="R27" s="21" t="str">
        <f t="shared" si="2"/>
        <v>N/A</v>
      </c>
      <c r="T27" s="21" t="str">
        <f t="shared" si="3"/>
        <v/>
      </c>
      <c r="V27" s="21" t="str">
        <f t="shared" si="4"/>
        <v/>
      </c>
      <c r="X27" s="21" t="str">
        <f t="shared" si="5"/>
        <v/>
      </c>
    </row>
    <row r="28" spans="9:24" x14ac:dyDescent="0.35">
      <c r="I28" s="21" t="str">
        <f t="shared" si="0"/>
        <v/>
      </c>
      <c r="Q28" s="21" t="str">
        <f t="shared" si="1"/>
        <v>N/A</v>
      </c>
      <c r="R28" s="21" t="str">
        <f t="shared" si="2"/>
        <v>N/A</v>
      </c>
      <c r="T28" s="21" t="str">
        <f t="shared" si="3"/>
        <v/>
      </c>
      <c r="V28" s="21" t="str">
        <f t="shared" si="4"/>
        <v/>
      </c>
      <c r="X28" s="21" t="str">
        <f t="shared" si="5"/>
        <v/>
      </c>
    </row>
    <row r="29" spans="9:24" x14ac:dyDescent="0.35">
      <c r="I29" s="21" t="str">
        <f t="shared" si="0"/>
        <v/>
      </c>
      <c r="Q29" s="21" t="str">
        <f t="shared" si="1"/>
        <v>N/A</v>
      </c>
      <c r="R29" s="21" t="str">
        <f t="shared" si="2"/>
        <v>N/A</v>
      </c>
      <c r="T29" s="21" t="str">
        <f t="shared" si="3"/>
        <v/>
      </c>
      <c r="V29" s="21" t="str">
        <f t="shared" si="4"/>
        <v/>
      </c>
      <c r="X29" s="21" t="str">
        <f t="shared" si="5"/>
        <v/>
      </c>
    </row>
    <row r="30" spans="9:24" x14ac:dyDescent="0.35">
      <c r="I30" s="21" t="str">
        <f t="shared" si="0"/>
        <v/>
      </c>
      <c r="Q30" s="21" t="str">
        <f t="shared" si="1"/>
        <v>N/A</v>
      </c>
      <c r="R30" s="21" t="str">
        <f t="shared" si="2"/>
        <v>N/A</v>
      </c>
      <c r="T30" s="21" t="str">
        <f t="shared" si="3"/>
        <v/>
      </c>
      <c r="V30" s="21" t="str">
        <f t="shared" si="4"/>
        <v/>
      </c>
      <c r="X30" s="21" t="str">
        <f t="shared" si="5"/>
        <v/>
      </c>
    </row>
    <row r="31" spans="9:24" x14ac:dyDescent="0.35">
      <c r="I31" s="21" t="str">
        <f t="shared" si="0"/>
        <v/>
      </c>
      <c r="Q31" s="21" t="str">
        <f t="shared" si="1"/>
        <v>N/A</v>
      </c>
      <c r="R31" s="21" t="str">
        <f t="shared" si="2"/>
        <v>N/A</v>
      </c>
      <c r="T31" s="21" t="str">
        <f t="shared" si="3"/>
        <v/>
      </c>
      <c r="V31" s="21" t="str">
        <f t="shared" si="4"/>
        <v/>
      </c>
      <c r="X31" s="21" t="str">
        <f t="shared" si="5"/>
        <v/>
      </c>
    </row>
    <row r="32" spans="9:24" x14ac:dyDescent="0.35">
      <c r="I32" s="21" t="str">
        <f t="shared" si="0"/>
        <v/>
      </c>
      <c r="Q32" s="21" t="str">
        <f t="shared" si="1"/>
        <v>N/A</v>
      </c>
      <c r="R32" s="21" t="str">
        <f t="shared" si="2"/>
        <v>N/A</v>
      </c>
      <c r="T32" s="21" t="str">
        <f t="shared" si="3"/>
        <v/>
      </c>
      <c r="V32" s="21" t="str">
        <f t="shared" si="4"/>
        <v/>
      </c>
      <c r="X32" s="21" t="str">
        <f t="shared" si="5"/>
        <v/>
      </c>
    </row>
    <row r="33" spans="9:24" x14ac:dyDescent="0.35">
      <c r="I33" s="21" t="str">
        <f t="shared" si="0"/>
        <v/>
      </c>
      <c r="Q33" s="21" t="str">
        <f t="shared" si="1"/>
        <v>N/A</v>
      </c>
      <c r="R33" s="21" t="str">
        <f t="shared" si="2"/>
        <v>N/A</v>
      </c>
      <c r="T33" s="21" t="str">
        <f t="shared" si="3"/>
        <v/>
      </c>
      <c r="V33" s="21" t="str">
        <f t="shared" si="4"/>
        <v/>
      </c>
      <c r="X33" s="21" t="str">
        <f t="shared" si="5"/>
        <v/>
      </c>
    </row>
    <row r="34" spans="9:24" x14ac:dyDescent="0.35">
      <c r="I34" s="21" t="str">
        <f t="shared" si="0"/>
        <v/>
      </c>
      <c r="Q34" s="21" t="str">
        <f t="shared" si="1"/>
        <v>N/A</v>
      </c>
      <c r="R34" s="21" t="str">
        <f t="shared" si="2"/>
        <v>N/A</v>
      </c>
      <c r="T34" s="21" t="str">
        <f t="shared" si="3"/>
        <v/>
      </c>
      <c r="V34" s="21" t="str">
        <f t="shared" si="4"/>
        <v/>
      </c>
      <c r="X34" s="21" t="str">
        <f t="shared" si="5"/>
        <v/>
      </c>
    </row>
    <row r="35" spans="9:24" x14ac:dyDescent="0.35">
      <c r="I35" s="21" t="str">
        <f t="shared" si="0"/>
        <v/>
      </c>
      <c r="Q35" s="21" t="str">
        <f t="shared" si="1"/>
        <v>N/A</v>
      </c>
      <c r="R35" s="21" t="str">
        <f t="shared" si="2"/>
        <v>N/A</v>
      </c>
      <c r="T35" s="21" t="str">
        <f t="shared" si="3"/>
        <v/>
      </c>
      <c r="V35" s="21" t="str">
        <f t="shared" si="4"/>
        <v/>
      </c>
      <c r="X35" s="21" t="str">
        <f t="shared" si="5"/>
        <v/>
      </c>
    </row>
    <row r="36" spans="9:24" x14ac:dyDescent="0.35">
      <c r="I36" s="21" t="str">
        <f t="shared" si="0"/>
        <v/>
      </c>
      <c r="Q36" s="21" t="str">
        <f t="shared" si="1"/>
        <v>N/A</v>
      </c>
      <c r="R36" s="21" t="str">
        <f t="shared" si="2"/>
        <v>N/A</v>
      </c>
      <c r="T36" s="21" t="str">
        <f t="shared" si="3"/>
        <v/>
      </c>
      <c r="V36" s="21" t="str">
        <f t="shared" si="4"/>
        <v/>
      </c>
      <c r="X36" s="21" t="str">
        <f t="shared" si="5"/>
        <v/>
      </c>
    </row>
    <row r="37" spans="9:24" x14ac:dyDescent="0.35">
      <c r="I37" s="21" t="str">
        <f t="shared" si="0"/>
        <v/>
      </c>
      <c r="Q37" s="21" t="str">
        <f t="shared" si="1"/>
        <v>N/A</v>
      </c>
      <c r="R37" s="21" t="str">
        <f t="shared" si="2"/>
        <v>N/A</v>
      </c>
      <c r="T37" s="21" t="str">
        <f t="shared" si="3"/>
        <v/>
      </c>
      <c r="V37" s="21" t="str">
        <f t="shared" si="4"/>
        <v/>
      </c>
      <c r="X37" s="21" t="str">
        <f t="shared" si="5"/>
        <v/>
      </c>
    </row>
    <row r="38" spans="9:24" x14ac:dyDescent="0.35">
      <c r="I38" s="21" t="str">
        <f t="shared" si="0"/>
        <v/>
      </c>
      <c r="Q38" s="21" t="str">
        <f t="shared" si="1"/>
        <v>N/A</v>
      </c>
      <c r="R38" s="21" t="str">
        <f t="shared" si="2"/>
        <v>N/A</v>
      </c>
      <c r="T38" s="21" t="str">
        <f t="shared" si="3"/>
        <v/>
      </c>
      <c r="V38" s="21" t="str">
        <f t="shared" si="4"/>
        <v/>
      </c>
      <c r="X38" s="21" t="str">
        <f t="shared" si="5"/>
        <v/>
      </c>
    </row>
    <row r="39" spans="9:24" x14ac:dyDescent="0.35">
      <c r="I39" s="21" t="str">
        <f t="shared" si="0"/>
        <v/>
      </c>
      <c r="Q39" s="21" t="str">
        <f t="shared" si="1"/>
        <v>N/A</v>
      </c>
      <c r="R39" s="21" t="str">
        <f t="shared" si="2"/>
        <v>N/A</v>
      </c>
      <c r="T39" s="21" t="str">
        <f t="shared" si="3"/>
        <v/>
      </c>
      <c r="V39" s="21" t="str">
        <f t="shared" si="4"/>
        <v/>
      </c>
      <c r="X39" s="21" t="str">
        <f t="shared" si="5"/>
        <v/>
      </c>
    </row>
    <row r="40" spans="9:24" x14ac:dyDescent="0.35">
      <c r="I40" s="21" t="str">
        <f t="shared" si="0"/>
        <v/>
      </c>
      <c r="Q40" s="21" t="str">
        <f t="shared" si="1"/>
        <v>N/A</v>
      </c>
      <c r="R40" s="21" t="str">
        <f t="shared" si="2"/>
        <v>N/A</v>
      </c>
      <c r="T40" s="21" t="str">
        <f t="shared" si="3"/>
        <v/>
      </c>
      <c r="V40" s="21" t="str">
        <f t="shared" si="4"/>
        <v/>
      </c>
      <c r="X40" s="21" t="str">
        <f t="shared" si="5"/>
        <v/>
      </c>
    </row>
    <row r="41" spans="9:24" x14ac:dyDescent="0.35">
      <c r="I41" s="21" t="str">
        <f t="shared" si="0"/>
        <v/>
      </c>
      <c r="Q41" s="21" t="str">
        <f t="shared" si="1"/>
        <v>N/A</v>
      </c>
      <c r="R41" s="21" t="str">
        <f t="shared" si="2"/>
        <v>N/A</v>
      </c>
      <c r="T41" s="21" t="str">
        <f t="shared" si="3"/>
        <v/>
      </c>
      <c r="V41" s="21" t="str">
        <f t="shared" si="4"/>
        <v/>
      </c>
      <c r="X41" s="21" t="str">
        <f t="shared" si="5"/>
        <v/>
      </c>
    </row>
    <row r="42" spans="9:24" x14ac:dyDescent="0.35">
      <c r="I42" s="21" t="str">
        <f t="shared" si="0"/>
        <v/>
      </c>
      <c r="Q42" s="21" t="str">
        <f t="shared" si="1"/>
        <v>N/A</v>
      </c>
      <c r="R42" s="21" t="str">
        <f t="shared" si="2"/>
        <v>N/A</v>
      </c>
      <c r="T42" s="21" t="str">
        <f t="shared" si="3"/>
        <v/>
      </c>
      <c r="V42" s="21" t="str">
        <f t="shared" si="4"/>
        <v/>
      </c>
      <c r="X42" s="21" t="str">
        <f t="shared" si="5"/>
        <v/>
      </c>
    </row>
    <row r="43" spans="9:24" x14ac:dyDescent="0.35">
      <c r="I43" s="21" t="str">
        <f t="shared" si="0"/>
        <v/>
      </c>
      <c r="Q43" s="21" t="str">
        <f t="shared" si="1"/>
        <v>N/A</v>
      </c>
      <c r="R43" s="21" t="str">
        <f t="shared" si="2"/>
        <v>N/A</v>
      </c>
      <c r="T43" s="21" t="str">
        <f t="shared" si="3"/>
        <v/>
      </c>
      <c r="V43" s="21" t="str">
        <f t="shared" si="4"/>
        <v/>
      </c>
      <c r="X43" s="21" t="str">
        <f t="shared" si="5"/>
        <v/>
      </c>
    </row>
    <row r="44" spans="9:24" x14ac:dyDescent="0.35">
      <c r="I44" s="21" t="str">
        <f t="shared" si="0"/>
        <v/>
      </c>
      <c r="Q44" s="21" t="str">
        <f t="shared" si="1"/>
        <v>N/A</v>
      </c>
      <c r="R44" s="21" t="str">
        <f t="shared" si="2"/>
        <v>N/A</v>
      </c>
      <c r="T44" s="21" t="str">
        <f t="shared" si="3"/>
        <v/>
      </c>
      <c r="V44" s="21" t="str">
        <f t="shared" si="4"/>
        <v/>
      </c>
      <c r="X44" s="21" t="str">
        <f t="shared" si="5"/>
        <v/>
      </c>
    </row>
    <row r="45" spans="9:24" x14ac:dyDescent="0.35">
      <c r="I45" s="21" t="str">
        <f t="shared" si="0"/>
        <v/>
      </c>
      <c r="Q45" s="21" t="str">
        <f t="shared" si="1"/>
        <v>N/A</v>
      </c>
      <c r="R45" s="21" t="str">
        <f t="shared" si="2"/>
        <v>N/A</v>
      </c>
      <c r="T45" s="21" t="str">
        <f t="shared" si="3"/>
        <v/>
      </c>
      <c r="V45" s="21" t="str">
        <f t="shared" si="4"/>
        <v/>
      </c>
      <c r="X45" s="21" t="str">
        <f t="shared" si="5"/>
        <v/>
      </c>
    </row>
    <row r="46" spans="9:24" x14ac:dyDescent="0.35">
      <c r="I46" s="21" t="str">
        <f t="shared" si="0"/>
        <v/>
      </c>
      <c r="Q46" s="21" t="str">
        <f t="shared" si="1"/>
        <v>N/A</v>
      </c>
      <c r="R46" s="21" t="str">
        <f t="shared" si="2"/>
        <v>N/A</v>
      </c>
      <c r="T46" s="21" t="str">
        <f t="shared" si="3"/>
        <v/>
      </c>
      <c r="V46" s="21" t="str">
        <f t="shared" si="4"/>
        <v/>
      </c>
      <c r="X46" s="21" t="str">
        <f t="shared" si="5"/>
        <v/>
      </c>
    </row>
    <row r="47" spans="9:24" x14ac:dyDescent="0.35">
      <c r="I47" s="21" t="str">
        <f t="shared" si="0"/>
        <v/>
      </c>
      <c r="Q47" s="21" t="str">
        <f t="shared" si="1"/>
        <v>N/A</v>
      </c>
      <c r="R47" s="21" t="str">
        <f t="shared" si="2"/>
        <v>N/A</v>
      </c>
      <c r="T47" s="21" t="str">
        <f t="shared" si="3"/>
        <v/>
      </c>
      <c r="V47" s="21" t="str">
        <f t="shared" si="4"/>
        <v/>
      </c>
      <c r="X47" s="21" t="str">
        <f t="shared" si="5"/>
        <v/>
      </c>
    </row>
    <row r="48" spans="9:24" x14ac:dyDescent="0.35">
      <c r="I48" s="21" t="str">
        <f t="shared" si="0"/>
        <v/>
      </c>
      <c r="Q48" s="21" t="str">
        <f t="shared" si="1"/>
        <v>N/A</v>
      </c>
      <c r="R48" s="21" t="str">
        <f t="shared" si="2"/>
        <v>N/A</v>
      </c>
      <c r="T48" s="21" t="str">
        <f t="shared" si="3"/>
        <v/>
      </c>
      <c r="V48" s="21" t="str">
        <f t="shared" si="4"/>
        <v/>
      </c>
      <c r="X48" s="21" t="str">
        <f t="shared" si="5"/>
        <v/>
      </c>
    </row>
    <row r="49" spans="9:24" x14ac:dyDescent="0.35">
      <c r="I49" s="21" t="str">
        <f t="shared" si="0"/>
        <v/>
      </c>
      <c r="Q49" s="21" t="str">
        <f t="shared" si="1"/>
        <v>N/A</v>
      </c>
      <c r="R49" s="21" t="str">
        <f t="shared" si="2"/>
        <v>N/A</v>
      </c>
      <c r="T49" s="21" t="str">
        <f t="shared" si="3"/>
        <v/>
      </c>
      <c r="V49" s="21" t="str">
        <f t="shared" si="4"/>
        <v/>
      </c>
      <c r="X49" s="21" t="str">
        <f t="shared" si="5"/>
        <v/>
      </c>
    </row>
    <row r="50" spans="9:24" x14ac:dyDescent="0.35">
      <c r="I50" s="21" t="str">
        <f t="shared" si="0"/>
        <v/>
      </c>
      <c r="Q50" s="21" t="str">
        <f t="shared" si="1"/>
        <v>N/A</v>
      </c>
      <c r="R50" s="21" t="str">
        <f t="shared" si="2"/>
        <v>N/A</v>
      </c>
      <c r="T50" s="21" t="str">
        <f t="shared" si="3"/>
        <v/>
      </c>
      <c r="V50" s="21" t="str">
        <f t="shared" si="4"/>
        <v/>
      </c>
      <c r="X50" s="21" t="str">
        <f t="shared" si="5"/>
        <v/>
      </c>
    </row>
    <row r="51" spans="9:24" x14ac:dyDescent="0.35">
      <c r="I51" s="21" t="str">
        <f t="shared" si="0"/>
        <v/>
      </c>
      <c r="Q51" s="21" t="str">
        <f t="shared" si="1"/>
        <v>N/A</v>
      </c>
      <c r="R51" s="21" t="str">
        <f t="shared" si="2"/>
        <v>N/A</v>
      </c>
      <c r="T51" s="21" t="str">
        <f t="shared" si="3"/>
        <v/>
      </c>
      <c r="V51" s="21" t="str">
        <f t="shared" si="4"/>
        <v/>
      </c>
      <c r="X51" s="21" t="str">
        <f t="shared" si="5"/>
        <v/>
      </c>
    </row>
    <row r="52" spans="9:24" x14ac:dyDescent="0.35">
      <c r="I52" s="21" t="str">
        <f t="shared" si="0"/>
        <v/>
      </c>
      <c r="Q52" s="21" t="str">
        <f t="shared" si="1"/>
        <v>N/A</v>
      </c>
      <c r="R52" s="21" t="str">
        <f t="shared" si="2"/>
        <v>N/A</v>
      </c>
      <c r="T52" s="21" t="str">
        <f t="shared" si="3"/>
        <v/>
      </c>
      <c r="V52" s="21" t="str">
        <f t="shared" si="4"/>
        <v/>
      </c>
      <c r="X52" s="21" t="str">
        <f t="shared" si="5"/>
        <v/>
      </c>
    </row>
    <row r="53" spans="9:24" x14ac:dyDescent="0.35">
      <c r="I53" s="21" t="str">
        <f t="shared" si="0"/>
        <v/>
      </c>
      <c r="Q53" s="21" t="str">
        <f t="shared" si="1"/>
        <v>N/A</v>
      </c>
      <c r="R53" s="21" t="str">
        <f t="shared" si="2"/>
        <v>N/A</v>
      </c>
      <c r="T53" s="21" t="str">
        <f t="shared" si="3"/>
        <v/>
      </c>
      <c r="V53" s="21" t="str">
        <f t="shared" si="4"/>
        <v/>
      </c>
      <c r="X53" s="21" t="str">
        <f t="shared" si="5"/>
        <v/>
      </c>
    </row>
    <row r="54" spans="9:24" x14ac:dyDescent="0.35">
      <c r="I54" s="21" t="str">
        <f t="shared" si="0"/>
        <v/>
      </c>
      <c r="Q54" s="21" t="str">
        <f t="shared" si="1"/>
        <v>N/A</v>
      </c>
      <c r="R54" s="21" t="str">
        <f t="shared" si="2"/>
        <v>N/A</v>
      </c>
      <c r="T54" s="21" t="str">
        <f t="shared" si="3"/>
        <v/>
      </c>
      <c r="V54" s="21" t="str">
        <f t="shared" si="4"/>
        <v/>
      </c>
      <c r="X54" s="21" t="str">
        <f t="shared" si="5"/>
        <v/>
      </c>
    </row>
    <row r="55" spans="9:24" x14ac:dyDescent="0.35">
      <c r="I55" s="21" t="str">
        <f t="shared" si="0"/>
        <v/>
      </c>
      <c r="Q55" s="21" t="str">
        <f t="shared" si="1"/>
        <v>N/A</v>
      </c>
      <c r="R55" s="21" t="str">
        <f t="shared" si="2"/>
        <v>N/A</v>
      </c>
      <c r="T55" s="21" t="str">
        <f t="shared" si="3"/>
        <v/>
      </c>
      <c r="V55" s="21" t="str">
        <f t="shared" si="4"/>
        <v/>
      </c>
      <c r="X55" s="21" t="str">
        <f t="shared" si="5"/>
        <v/>
      </c>
    </row>
    <row r="56" spans="9:24" x14ac:dyDescent="0.35">
      <c r="I56" s="21" t="str">
        <f t="shared" si="0"/>
        <v/>
      </c>
      <c r="Q56" s="21" t="str">
        <f t="shared" si="1"/>
        <v>N/A</v>
      </c>
      <c r="R56" s="21" t="str">
        <f t="shared" si="2"/>
        <v>N/A</v>
      </c>
      <c r="T56" s="21" t="str">
        <f t="shared" si="3"/>
        <v/>
      </c>
      <c r="V56" s="21" t="str">
        <f t="shared" si="4"/>
        <v/>
      </c>
      <c r="X56" s="21" t="str">
        <f t="shared" si="5"/>
        <v/>
      </c>
    </row>
    <row r="57" spans="9:24" x14ac:dyDescent="0.35">
      <c r="I57" s="21" t="str">
        <f t="shared" si="0"/>
        <v/>
      </c>
      <c r="Q57" s="21" t="str">
        <f t="shared" si="1"/>
        <v>N/A</v>
      </c>
      <c r="R57" s="21" t="str">
        <f t="shared" si="2"/>
        <v>N/A</v>
      </c>
      <c r="T57" s="21" t="str">
        <f t="shared" si="3"/>
        <v/>
      </c>
      <c r="V57" s="21" t="str">
        <f t="shared" si="4"/>
        <v/>
      </c>
      <c r="X57" s="21" t="str">
        <f t="shared" si="5"/>
        <v/>
      </c>
    </row>
    <row r="58" spans="9:24" x14ac:dyDescent="0.35">
      <c r="I58" s="21" t="str">
        <f t="shared" si="0"/>
        <v/>
      </c>
      <c r="Q58" s="21" t="str">
        <f t="shared" si="1"/>
        <v>N/A</v>
      </c>
      <c r="R58" s="21" t="str">
        <f t="shared" si="2"/>
        <v>N/A</v>
      </c>
      <c r="T58" s="21" t="str">
        <f t="shared" si="3"/>
        <v/>
      </c>
      <c r="V58" s="21" t="str">
        <f t="shared" si="4"/>
        <v/>
      </c>
      <c r="X58" s="21" t="str">
        <f t="shared" si="5"/>
        <v/>
      </c>
    </row>
    <row r="59" spans="9:24" x14ac:dyDescent="0.35">
      <c r="I59" s="21" t="str">
        <f t="shared" si="0"/>
        <v/>
      </c>
      <c r="Q59" s="21" t="str">
        <f t="shared" si="1"/>
        <v>N/A</v>
      </c>
      <c r="R59" s="21" t="str">
        <f t="shared" si="2"/>
        <v>N/A</v>
      </c>
      <c r="T59" s="21" t="str">
        <f t="shared" si="3"/>
        <v/>
      </c>
      <c r="V59" s="21" t="str">
        <f t="shared" si="4"/>
        <v/>
      </c>
      <c r="X59" s="21" t="str">
        <f t="shared" si="5"/>
        <v/>
      </c>
    </row>
    <row r="60" spans="9:24" x14ac:dyDescent="0.35">
      <c r="I60" s="21" t="str">
        <f t="shared" si="0"/>
        <v/>
      </c>
      <c r="Q60" s="21" t="str">
        <f t="shared" si="1"/>
        <v>N/A</v>
      </c>
      <c r="R60" s="21" t="str">
        <f t="shared" si="2"/>
        <v>N/A</v>
      </c>
      <c r="T60" s="21" t="str">
        <f t="shared" si="3"/>
        <v/>
      </c>
      <c r="V60" s="21" t="str">
        <f t="shared" si="4"/>
        <v/>
      </c>
      <c r="X60" s="21" t="str">
        <f t="shared" si="5"/>
        <v/>
      </c>
    </row>
    <row r="61" spans="9:24" x14ac:dyDescent="0.35">
      <c r="I61" s="21" t="str">
        <f t="shared" si="0"/>
        <v/>
      </c>
      <c r="Q61" s="21" t="str">
        <f t="shared" si="1"/>
        <v>N/A</v>
      </c>
      <c r="R61" s="21" t="str">
        <f t="shared" si="2"/>
        <v>N/A</v>
      </c>
      <c r="T61" s="21" t="str">
        <f t="shared" si="3"/>
        <v/>
      </c>
      <c r="V61" s="21" t="str">
        <f t="shared" si="4"/>
        <v/>
      </c>
      <c r="X61" s="21" t="str">
        <f t="shared" si="5"/>
        <v/>
      </c>
    </row>
    <row r="62" spans="9:24" x14ac:dyDescent="0.35">
      <c r="I62" s="21" t="str">
        <f t="shared" si="0"/>
        <v/>
      </c>
      <c r="Q62" s="21" t="str">
        <f t="shared" si="1"/>
        <v>N/A</v>
      </c>
      <c r="R62" s="21" t="str">
        <f t="shared" si="2"/>
        <v>N/A</v>
      </c>
      <c r="T62" s="21" t="str">
        <f t="shared" si="3"/>
        <v/>
      </c>
      <c r="V62" s="21" t="str">
        <f t="shared" si="4"/>
        <v/>
      </c>
      <c r="X62" s="21" t="str">
        <f t="shared" si="5"/>
        <v/>
      </c>
    </row>
    <row r="63" spans="9:24" x14ac:dyDescent="0.35">
      <c r="I63" s="21" t="str">
        <f t="shared" si="0"/>
        <v/>
      </c>
      <c r="Q63" s="21" t="str">
        <f t="shared" si="1"/>
        <v>N/A</v>
      </c>
      <c r="R63" s="21" t="str">
        <f t="shared" si="2"/>
        <v>N/A</v>
      </c>
      <c r="T63" s="21" t="str">
        <f t="shared" si="3"/>
        <v/>
      </c>
      <c r="V63" s="21" t="str">
        <f t="shared" si="4"/>
        <v/>
      </c>
      <c r="X63" s="21" t="str">
        <f t="shared" si="5"/>
        <v/>
      </c>
    </row>
    <row r="64" spans="9:24" x14ac:dyDescent="0.35">
      <c r="I64" s="21" t="str">
        <f t="shared" si="0"/>
        <v/>
      </c>
      <c r="Q64" s="21" t="str">
        <f t="shared" si="1"/>
        <v>N/A</v>
      </c>
      <c r="R64" s="21" t="str">
        <f t="shared" si="2"/>
        <v>N/A</v>
      </c>
      <c r="T64" s="21" t="str">
        <f t="shared" si="3"/>
        <v/>
      </c>
      <c r="V64" s="21" t="str">
        <f t="shared" si="4"/>
        <v/>
      </c>
      <c r="X64" s="21" t="str">
        <f t="shared" si="5"/>
        <v/>
      </c>
    </row>
    <row r="65" spans="9:24" x14ac:dyDescent="0.35">
      <c r="I65" s="21" t="str">
        <f t="shared" si="0"/>
        <v/>
      </c>
      <c r="Q65" s="21" t="str">
        <f t="shared" si="1"/>
        <v>N/A</v>
      </c>
      <c r="R65" s="21" t="str">
        <f t="shared" si="2"/>
        <v>N/A</v>
      </c>
      <c r="T65" s="21" t="str">
        <f t="shared" si="3"/>
        <v/>
      </c>
      <c r="V65" s="21" t="str">
        <f t="shared" si="4"/>
        <v/>
      </c>
      <c r="X65" s="21" t="str">
        <f t="shared" si="5"/>
        <v/>
      </c>
    </row>
    <row r="66" spans="9:24" x14ac:dyDescent="0.35">
      <c r="I66" s="21" t="str">
        <f t="shared" si="0"/>
        <v/>
      </c>
      <c r="Q66" s="21" t="str">
        <f t="shared" si="1"/>
        <v>N/A</v>
      </c>
      <c r="R66" s="21" t="str">
        <f t="shared" si="2"/>
        <v>N/A</v>
      </c>
      <c r="T66" s="21" t="str">
        <f t="shared" si="3"/>
        <v/>
      </c>
      <c r="V66" s="21" t="str">
        <f t="shared" si="4"/>
        <v/>
      </c>
      <c r="X66" s="21" t="str">
        <f t="shared" si="5"/>
        <v/>
      </c>
    </row>
    <row r="67" spans="9:24" x14ac:dyDescent="0.35">
      <c r="I67" s="21" t="str">
        <f t="shared" si="0"/>
        <v/>
      </c>
      <c r="Q67" s="21" t="str">
        <f t="shared" si="1"/>
        <v>N/A</v>
      </c>
      <c r="R67" s="21" t="str">
        <f t="shared" si="2"/>
        <v>N/A</v>
      </c>
      <c r="T67" s="21" t="str">
        <f t="shared" si="3"/>
        <v/>
      </c>
      <c r="V67" s="21" t="str">
        <f t="shared" si="4"/>
        <v/>
      </c>
      <c r="X67" s="21" t="str">
        <f t="shared" si="5"/>
        <v/>
      </c>
    </row>
    <row r="68" spans="9:24" x14ac:dyDescent="0.35">
      <c r="I68" s="21" t="str">
        <f t="shared" si="0"/>
        <v/>
      </c>
      <c r="Q68" s="21" t="str">
        <f t="shared" si="1"/>
        <v>N/A</v>
      </c>
      <c r="R68" s="21" t="str">
        <f t="shared" si="2"/>
        <v>N/A</v>
      </c>
      <c r="T68" s="21" t="str">
        <f t="shared" si="3"/>
        <v/>
      </c>
      <c r="V68" s="21" t="str">
        <f t="shared" si="4"/>
        <v/>
      </c>
      <c r="X68" s="21" t="str">
        <f t="shared" si="5"/>
        <v/>
      </c>
    </row>
    <row r="69" spans="9:24" x14ac:dyDescent="0.35">
      <c r="I69" s="21" t="str">
        <f t="shared" si="0"/>
        <v/>
      </c>
      <c r="Q69" s="21" t="str">
        <f t="shared" si="1"/>
        <v>N/A</v>
      </c>
      <c r="R69" s="21" t="str">
        <f t="shared" si="2"/>
        <v>N/A</v>
      </c>
      <c r="T69" s="21" t="str">
        <f t="shared" si="3"/>
        <v/>
      </c>
      <c r="V69" s="21" t="str">
        <f t="shared" si="4"/>
        <v/>
      </c>
      <c r="X69" s="21" t="str">
        <f t="shared" si="5"/>
        <v/>
      </c>
    </row>
    <row r="70" spans="9:24" x14ac:dyDescent="0.35">
      <c r="I70" s="21" t="str">
        <f t="shared" ref="I70:I133" si="6">IF(OR(G70&lt;&gt;"",H70&lt;&gt;""),G70-H70,"")</f>
        <v/>
      </c>
      <c r="Q70" s="21" t="str">
        <f t="shared" ref="Q70:Q133" si="7">IFERROR(IF(K70="","N/A",IF(ISNUMBER(MATCH(K70,OLD_PROJECTS,0)),"Yes","No")),"N/A")</f>
        <v>N/A</v>
      </c>
      <c r="R70" s="21" t="str">
        <f t="shared" ref="R70:R133" si="8">IFERROR(IF(K70="","N/A",IF(Q70="Yes","No","Yes")),"N/A")</f>
        <v>N/A</v>
      </c>
      <c r="T70" s="21" t="str">
        <f t="shared" ref="T70:T133" si="9">IFERROR(IF(S70="","",IF(S70="SHARED","Yes",IF(AND(INDEX(COA_OVERHEAD,MATCH(D70,COA_LEDGER,0))="Y",S70="OLD"),"Yes",IF(AND(INDEX(COA_CLASS,MATCH(D70,COA_LEDGER,0))="Income",S70="NEW",Q70="Yes"),"Yes","No")))),"Check Ledger")</f>
        <v/>
      </c>
      <c r="V70" s="21" t="str">
        <f t="shared" ref="V70:V133" si="10">IFERROR(IF(D70="","",IF(INDEX(COA_COMPANY,MATCH(D70,COA_LEDGER,0))="New Company","NEW",IF(INDEX(COA_COMPANY,MATCH(D70,COA_LEDGER,0))="Old Company","OLD",IF(Q70="Yes","OLD","NEW")))),"Check Ledger")</f>
        <v/>
      </c>
      <c r="X70" s="21" t="str">
        <f t="shared" ref="X70:X133" si="11">IFERROR(IF(B70="","",IF(ROUND(SUMIF(TXN_VNO,B70,TXN_DEBIT)-SUMIF(TXN_VNO,B70,TXN_CREDIT),2)=0,"Yes","No")),"")</f>
        <v/>
      </c>
    </row>
    <row r="71" spans="9:24" x14ac:dyDescent="0.35">
      <c r="I71" s="21" t="str">
        <f t="shared" si="6"/>
        <v/>
      </c>
      <c r="Q71" s="21" t="str">
        <f t="shared" si="7"/>
        <v>N/A</v>
      </c>
      <c r="R71" s="21" t="str">
        <f t="shared" si="8"/>
        <v>N/A</v>
      </c>
      <c r="T71" s="21" t="str">
        <f t="shared" si="9"/>
        <v/>
      </c>
      <c r="V71" s="21" t="str">
        <f t="shared" si="10"/>
        <v/>
      </c>
      <c r="X71" s="21" t="str">
        <f t="shared" si="11"/>
        <v/>
      </c>
    </row>
    <row r="72" spans="9:24" x14ac:dyDescent="0.35">
      <c r="I72" s="21" t="str">
        <f t="shared" si="6"/>
        <v/>
      </c>
      <c r="Q72" s="21" t="str">
        <f t="shared" si="7"/>
        <v>N/A</v>
      </c>
      <c r="R72" s="21" t="str">
        <f t="shared" si="8"/>
        <v>N/A</v>
      </c>
      <c r="T72" s="21" t="str">
        <f t="shared" si="9"/>
        <v/>
      </c>
      <c r="V72" s="21" t="str">
        <f t="shared" si="10"/>
        <v/>
      </c>
      <c r="X72" s="21" t="str">
        <f t="shared" si="11"/>
        <v/>
      </c>
    </row>
    <row r="73" spans="9:24" x14ac:dyDescent="0.35">
      <c r="I73" s="21" t="str">
        <f t="shared" si="6"/>
        <v/>
      </c>
      <c r="Q73" s="21" t="str">
        <f t="shared" si="7"/>
        <v>N/A</v>
      </c>
      <c r="R73" s="21" t="str">
        <f t="shared" si="8"/>
        <v>N/A</v>
      </c>
      <c r="T73" s="21" t="str">
        <f t="shared" si="9"/>
        <v/>
      </c>
      <c r="V73" s="21" t="str">
        <f t="shared" si="10"/>
        <v/>
      </c>
      <c r="X73" s="21" t="str">
        <f t="shared" si="11"/>
        <v/>
      </c>
    </row>
    <row r="74" spans="9:24" x14ac:dyDescent="0.35">
      <c r="I74" s="21" t="str">
        <f t="shared" si="6"/>
        <v/>
      </c>
      <c r="Q74" s="21" t="str">
        <f t="shared" si="7"/>
        <v>N/A</v>
      </c>
      <c r="R74" s="21" t="str">
        <f t="shared" si="8"/>
        <v>N/A</v>
      </c>
      <c r="T74" s="21" t="str">
        <f t="shared" si="9"/>
        <v/>
      </c>
      <c r="V74" s="21" t="str">
        <f t="shared" si="10"/>
        <v/>
      </c>
      <c r="X74" s="21" t="str">
        <f t="shared" si="11"/>
        <v/>
      </c>
    </row>
    <row r="75" spans="9:24" x14ac:dyDescent="0.35">
      <c r="I75" s="21" t="str">
        <f t="shared" si="6"/>
        <v/>
      </c>
      <c r="Q75" s="21" t="str">
        <f t="shared" si="7"/>
        <v>N/A</v>
      </c>
      <c r="R75" s="21" t="str">
        <f t="shared" si="8"/>
        <v>N/A</v>
      </c>
      <c r="T75" s="21" t="str">
        <f t="shared" si="9"/>
        <v/>
      </c>
      <c r="V75" s="21" t="str">
        <f t="shared" si="10"/>
        <v/>
      </c>
      <c r="X75" s="21" t="str">
        <f t="shared" si="11"/>
        <v/>
      </c>
    </row>
    <row r="76" spans="9:24" x14ac:dyDescent="0.35">
      <c r="I76" s="21" t="str">
        <f t="shared" si="6"/>
        <v/>
      </c>
      <c r="Q76" s="21" t="str">
        <f t="shared" si="7"/>
        <v>N/A</v>
      </c>
      <c r="R76" s="21" t="str">
        <f t="shared" si="8"/>
        <v>N/A</v>
      </c>
      <c r="T76" s="21" t="str">
        <f t="shared" si="9"/>
        <v/>
      </c>
      <c r="V76" s="21" t="str">
        <f t="shared" si="10"/>
        <v/>
      </c>
      <c r="X76" s="21" t="str">
        <f t="shared" si="11"/>
        <v/>
      </c>
    </row>
    <row r="77" spans="9:24" x14ac:dyDescent="0.35">
      <c r="I77" s="21" t="str">
        <f t="shared" si="6"/>
        <v/>
      </c>
      <c r="Q77" s="21" t="str">
        <f t="shared" si="7"/>
        <v>N/A</v>
      </c>
      <c r="R77" s="21" t="str">
        <f t="shared" si="8"/>
        <v>N/A</v>
      </c>
      <c r="T77" s="21" t="str">
        <f t="shared" si="9"/>
        <v/>
      </c>
      <c r="V77" s="21" t="str">
        <f t="shared" si="10"/>
        <v/>
      </c>
      <c r="X77" s="21" t="str">
        <f t="shared" si="11"/>
        <v/>
      </c>
    </row>
    <row r="78" spans="9:24" x14ac:dyDescent="0.35">
      <c r="I78" s="21" t="str">
        <f t="shared" si="6"/>
        <v/>
      </c>
      <c r="Q78" s="21" t="str">
        <f t="shared" si="7"/>
        <v>N/A</v>
      </c>
      <c r="R78" s="21" t="str">
        <f t="shared" si="8"/>
        <v>N/A</v>
      </c>
      <c r="T78" s="21" t="str">
        <f t="shared" si="9"/>
        <v/>
      </c>
      <c r="V78" s="21" t="str">
        <f t="shared" si="10"/>
        <v/>
      </c>
      <c r="X78" s="21" t="str">
        <f t="shared" si="11"/>
        <v/>
      </c>
    </row>
    <row r="79" spans="9:24" x14ac:dyDescent="0.35">
      <c r="I79" s="21" t="str">
        <f t="shared" si="6"/>
        <v/>
      </c>
      <c r="Q79" s="21" t="str">
        <f t="shared" si="7"/>
        <v>N/A</v>
      </c>
      <c r="R79" s="21" t="str">
        <f t="shared" si="8"/>
        <v>N/A</v>
      </c>
      <c r="T79" s="21" t="str">
        <f t="shared" si="9"/>
        <v/>
      </c>
      <c r="V79" s="21" t="str">
        <f t="shared" si="10"/>
        <v/>
      </c>
      <c r="X79" s="21" t="str">
        <f t="shared" si="11"/>
        <v/>
      </c>
    </row>
    <row r="80" spans="9:24" x14ac:dyDescent="0.35">
      <c r="I80" s="21" t="str">
        <f t="shared" si="6"/>
        <v/>
      </c>
      <c r="Q80" s="21" t="str">
        <f t="shared" si="7"/>
        <v>N/A</v>
      </c>
      <c r="R80" s="21" t="str">
        <f t="shared" si="8"/>
        <v>N/A</v>
      </c>
      <c r="T80" s="21" t="str">
        <f t="shared" si="9"/>
        <v/>
      </c>
      <c r="V80" s="21" t="str">
        <f t="shared" si="10"/>
        <v/>
      </c>
      <c r="X80" s="21" t="str">
        <f t="shared" si="11"/>
        <v/>
      </c>
    </row>
    <row r="81" spans="9:24" x14ac:dyDescent="0.35">
      <c r="I81" s="21" t="str">
        <f t="shared" si="6"/>
        <v/>
      </c>
      <c r="Q81" s="21" t="str">
        <f t="shared" si="7"/>
        <v>N/A</v>
      </c>
      <c r="R81" s="21" t="str">
        <f t="shared" si="8"/>
        <v>N/A</v>
      </c>
      <c r="T81" s="21" t="str">
        <f t="shared" si="9"/>
        <v/>
      </c>
      <c r="V81" s="21" t="str">
        <f t="shared" si="10"/>
        <v/>
      </c>
      <c r="X81" s="21" t="str">
        <f t="shared" si="11"/>
        <v/>
      </c>
    </row>
    <row r="82" spans="9:24" x14ac:dyDescent="0.35">
      <c r="I82" s="21" t="str">
        <f t="shared" si="6"/>
        <v/>
      </c>
      <c r="Q82" s="21" t="str">
        <f t="shared" si="7"/>
        <v>N/A</v>
      </c>
      <c r="R82" s="21" t="str">
        <f t="shared" si="8"/>
        <v>N/A</v>
      </c>
      <c r="T82" s="21" t="str">
        <f t="shared" si="9"/>
        <v/>
      </c>
      <c r="V82" s="21" t="str">
        <f t="shared" si="10"/>
        <v/>
      </c>
      <c r="X82" s="21" t="str">
        <f t="shared" si="11"/>
        <v/>
      </c>
    </row>
    <row r="83" spans="9:24" x14ac:dyDescent="0.35">
      <c r="I83" s="21" t="str">
        <f t="shared" si="6"/>
        <v/>
      </c>
      <c r="Q83" s="21" t="str">
        <f t="shared" si="7"/>
        <v>N/A</v>
      </c>
      <c r="R83" s="21" t="str">
        <f t="shared" si="8"/>
        <v>N/A</v>
      </c>
      <c r="T83" s="21" t="str">
        <f t="shared" si="9"/>
        <v/>
      </c>
      <c r="V83" s="21" t="str">
        <f t="shared" si="10"/>
        <v/>
      </c>
      <c r="X83" s="21" t="str">
        <f t="shared" si="11"/>
        <v/>
      </c>
    </row>
    <row r="84" spans="9:24" x14ac:dyDescent="0.35">
      <c r="I84" s="21" t="str">
        <f t="shared" si="6"/>
        <v/>
      </c>
      <c r="Q84" s="21" t="str">
        <f t="shared" si="7"/>
        <v>N/A</v>
      </c>
      <c r="R84" s="21" t="str">
        <f t="shared" si="8"/>
        <v>N/A</v>
      </c>
      <c r="T84" s="21" t="str">
        <f t="shared" si="9"/>
        <v/>
      </c>
      <c r="V84" s="21" t="str">
        <f t="shared" si="10"/>
        <v/>
      </c>
      <c r="X84" s="21" t="str">
        <f t="shared" si="11"/>
        <v/>
      </c>
    </row>
    <row r="85" spans="9:24" x14ac:dyDescent="0.35">
      <c r="I85" s="21" t="str">
        <f t="shared" si="6"/>
        <v/>
      </c>
      <c r="Q85" s="21" t="str">
        <f t="shared" si="7"/>
        <v>N/A</v>
      </c>
      <c r="R85" s="21" t="str">
        <f t="shared" si="8"/>
        <v>N/A</v>
      </c>
      <c r="T85" s="21" t="str">
        <f t="shared" si="9"/>
        <v/>
      </c>
      <c r="V85" s="21" t="str">
        <f t="shared" si="10"/>
        <v/>
      </c>
      <c r="X85" s="21" t="str">
        <f t="shared" si="11"/>
        <v/>
      </c>
    </row>
    <row r="86" spans="9:24" x14ac:dyDescent="0.35">
      <c r="I86" s="21" t="str">
        <f t="shared" si="6"/>
        <v/>
      </c>
      <c r="Q86" s="21" t="str">
        <f t="shared" si="7"/>
        <v>N/A</v>
      </c>
      <c r="R86" s="21" t="str">
        <f t="shared" si="8"/>
        <v>N/A</v>
      </c>
      <c r="T86" s="21" t="str">
        <f t="shared" si="9"/>
        <v/>
      </c>
      <c r="V86" s="21" t="str">
        <f t="shared" si="10"/>
        <v/>
      </c>
      <c r="X86" s="21" t="str">
        <f t="shared" si="11"/>
        <v/>
      </c>
    </row>
    <row r="87" spans="9:24" x14ac:dyDescent="0.35">
      <c r="I87" s="21" t="str">
        <f t="shared" si="6"/>
        <v/>
      </c>
      <c r="Q87" s="21" t="str">
        <f t="shared" si="7"/>
        <v>N/A</v>
      </c>
      <c r="R87" s="21" t="str">
        <f t="shared" si="8"/>
        <v>N/A</v>
      </c>
      <c r="T87" s="21" t="str">
        <f t="shared" si="9"/>
        <v/>
      </c>
      <c r="V87" s="21" t="str">
        <f t="shared" si="10"/>
        <v/>
      </c>
      <c r="X87" s="21" t="str">
        <f t="shared" si="11"/>
        <v/>
      </c>
    </row>
    <row r="88" spans="9:24" x14ac:dyDescent="0.35">
      <c r="I88" s="21" t="str">
        <f t="shared" si="6"/>
        <v/>
      </c>
      <c r="Q88" s="21" t="str">
        <f t="shared" si="7"/>
        <v>N/A</v>
      </c>
      <c r="R88" s="21" t="str">
        <f t="shared" si="8"/>
        <v>N/A</v>
      </c>
      <c r="T88" s="21" t="str">
        <f t="shared" si="9"/>
        <v/>
      </c>
      <c r="V88" s="21" t="str">
        <f t="shared" si="10"/>
        <v/>
      </c>
      <c r="X88" s="21" t="str">
        <f t="shared" si="11"/>
        <v/>
      </c>
    </row>
    <row r="89" spans="9:24" x14ac:dyDescent="0.35">
      <c r="I89" s="21" t="str">
        <f t="shared" si="6"/>
        <v/>
      </c>
      <c r="Q89" s="21" t="str">
        <f t="shared" si="7"/>
        <v>N/A</v>
      </c>
      <c r="R89" s="21" t="str">
        <f t="shared" si="8"/>
        <v>N/A</v>
      </c>
      <c r="T89" s="21" t="str">
        <f t="shared" si="9"/>
        <v/>
      </c>
      <c r="V89" s="21" t="str">
        <f t="shared" si="10"/>
        <v/>
      </c>
      <c r="X89" s="21" t="str">
        <f t="shared" si="11"/>
        <v/>
      </c>
    </row>
    <row r="90" spans="9:24" x14ac:dyDescent="0.35">
      <c r="I90" s="21" t="str">
        <f t="shared" si="6"/>
        <v/>
      </c>
      <c r="Q90" s="21" t="str">
        <f t="shared" si="7"/>
        <v>N/A</v>
      </c>
      <c r="R90" s="21" t="str">
        <f t="shared" si="8"/>
        <v>N/A</v>
      </c>
      <c r="T90" s="21" t="str">
        <f t="shared" si="9"/>
        <v/>
      </c>
      <c r="V90" s="21" t="str">
        <f t="shared" si="10"/>
        <v/>
      </c>
      <c r="X90" s="21" t="str">
        <f t="shared" si="11"/>
        <v/>
      </c>
    </row>
    <row r="91" spans="9:24" x14ac:dyDescent="0.35">
      <c r="I91" s="21" t="str">
        <f t="shared" si="6"/>
        <v/>
      </c>
      <c r="Q91" s="21" t="str">
        <f t="shared" si="7"/>
        <v>N/A</v>
      </c>
      <c r="R91" s="21" t="str">
        <f t="shared" si="8"/>
        <v>N/A</v>
      </c>
      <c r="T91" s="21" t="str">
        <f t="shared" si="9"/>
        <v/>
      </c>
      <c r="V91" s="21" t="str">
        <f t="shared" si="10"/>
        <v/>
      </c>
      <c r="X91" s="21" t="str">
        <f t="shared" si="11"/>
        <v/>
      </c>
    </row>
    <row r="92" spans="9:24" x14ac:dyDescent="0.35">
      <c r="I92" s="21" t="str">
        <f t="shared" si="6"/>
        <v/>
      </c>
      <c r="Q92" s="21" t="str">
        <f t="shared" si="7"/>
        <v>N/A</v>
      </c>
      <c r="R92" s="21" t="str">
        <f t="shared" si="8"/>
        <v>N/A</v>
      </c>
      <c r="T92" s="21" t="str">
        <f t="shared" si="9"/>
        <v/>
      </c>
      <c r="V92" s="21" t="str">
        <f t="shared" si="10"/>
        <v/>
      </c>
      <c r="X92" s="21" t="str">
        <f t="shared" si="11"/>
        <v/>
      </c>
    </row>
    <row r="93" spans="9:24" x14ac:dyDescent="0.35">
      <c r="I93" s="21" t="str">
        <f t="shared" si="6"/>
        <v/>
      </c>
      <c r="Q93" s="21" t="str">
        <f t="shared" si="7"/>
        <v>N/A</v>
      </c>
      <c r="R93" s="21" t="str">
        <f t="shared" si="8"/>
        <v>N/A</v>
      </c>
      <c r="T93" s="21" t="str">
        <f t="shared" si="9"/>
        <v/>
      </c>
      <c r="V93" s="21" t="str">
        <f t="shared" si="10"/>
        <v/>
      </c>
      <c r="X93" s="21" t="str">
        <f t="shared" si="11"/>
        <v/>
      </c>
    </row>
    <row r="94" spans="9:24" x14ac:dyDescent="0.35">
      <c r="I94" s="21" t="str">
        <f t="shared" si="6"/>
        <v/>
      </c>
      <c r="Q94" s="21" t="str">
        <f t="shared" si="7"/>
        <v>N/A</v>
      </c>
      <c r="R94" s="21" t="str">
        <f t="shared" si="8"/>
        <v>N/A</v>
      </c>
      <c r="T94" s="21" t="str">
        <f t="shared" si="9"/>
        <v/>
      </c>
      <c r="V94" s="21" t="str">
        <f t="shared" si="10"/>
        <v/>
      </c>
      <c r="X94" s="21" t="str">
        <f t="shared" si="11"/>
        <v/>
      </c>
    </row>
    <row r="95" spans="9:24" x14ac:dyDescent="0.35">
      <c r="I95" s="21" t="str">
        <f t="shared" si="6"/>
        <v/>
      </c>
      <c r="Q95" s="21" t="str">
        <f t="shared" si="7"/>
        <v>N/A</v>
      </c>
      <c r="R95" s="21" t="str">
        <f t="shared" si="8"/>
        <v>N/A</v>
      </c>
      <c r="T95" s="21" t="str">
        <f t="shared" si="9"/>
        <v/>
      </c>
      <c r="V95" s="21" t="str">
        <f t="shared" si="10"/>
        <v/>
      </c>
      <c r="X95" s="21" t="str">
        <f t="shared" si="11"/>
        <v/>
      </c>
    </row>
    <row r="96" spans="9:24" x14ac:dyDescent="0.35">
      <c r="I96" s="21" t="str">
        <f t="shared" si="6"/>
        <v/>
      </c>
      <c r="Q96" s="21" t="str">
        <f t="shared" si="7"/>
        <v>N/A</v>
      </c>
      <c r="R96" s="21" t="str">
        <f t="shared" si="8"/>
        <v>N/A</v>
      </c>
      <c r="T96" s="21" t="str">
        <f t="shared" si="9"/>
        <v/>
      </c>
      <c r="V96" s="21" t="str">
        <f t="shared" si="10"/>
        <v/>
      </c>
      <c r="X96" s="21" t="str">
        <f t="shared" si="11"/>
        <v/>
      </c>
    </row>
    <row r="97" spans="9:24" x14ac:dyDescent="0.35">
      <c r="I97" s="21" t="str">
        <f t="shared" si="6"/>
        <v/>
      </c>
      <c r="Q97" s="21" t="str">
        <f t="shared" si="7"/>
        <v>N/A</v>
      </c>
      <c r="R97" s="21" t="str">
        <f t="shared" si="8"/>
        <v>N/A</v>
      </c>
      <c r="T97" s="21" t="str">
        <f t="shared" si="9"/>
        <v/>
      </c>
      <c r="V97" s="21" t="str">
        <f t="shared" si="10"/>
        <v/>
      </c>
      <c r="X97" s="21" t="str">
        <f t="shared" si="11"/>
        <v/>
      </c>
    </row>
    <row r="98" spans="9:24" x14ac:dyDescent="0.35">
      <c r="I98" s="21" t="str">
        <f t="shared" si="6"/>
        <v/>
      </c>
      <c r="Q98" s="21" t="str">
        <f t="shared" si="7"/>
        <v>N/A</v>
      </c>
      <c r="R98" s="21" t="str">
        <f t="shared" si="8"/>
        <v>N/A</v>
      </c>
      <c r="T98" s="21" t="str">
        <f t="shared" si="9"/>
        <v/>
      </c>
      <c r="V98" s="21" t="str">
        <f t="shared" si="10"/>
        <v/>
      </c>
      <c r="X98" s="21" t="str">
        <f t="shared" si="11"/>
        <v/>
      </c>
    </row>
    <row r="99" spans="9:24" x14ac:dyDescent="0.35">
      <c r="I99" s="21" t="str">
        <f t="shared" si="6"/>
        <v/>
      </c>
      <c r="Q99" s="21" t="str">
        <f t="shared" si="7"/>
        <v>N/A</v>
      </c>
      <c r="R99" s="21" t="str">
        <f t="shared" si="8"/>
        <v>N/A</v>
      </c>
      <c r="T99" s="21" t="str">
        <f t="shared" si="9"/>
        <v/>
      </c>
      <c r="V99" s="21" t="str">
        <f t="shared" si="10"/>
        <v/>
      </c>
      <c r="X99" s="21" t="str">
        <f t="shared" si="11"/>
        <v/>
      </c>
    </row>
    <row r="100" spans="9:24" x14ac:dyDescent="0.35">
      <c r="I100" s="21" t="str">
        <f t="shared" si="6"/>
        <v/>
      </c>
      <c r="Q100" s="21" t="str">
        <f t="shared" si="7"/>
        <v>N/A</v>
      </c>
      <c r="R100" s="21" t="str">
        <f t="shared" si="8"/>
        <v>N/A</v>
      </c>
      <c r="T100" s="21" t="str">
        <f t="shared" si="9"/>
        <v/>
      </c>
      <c r="V100" s="21" t="str">
        <f t="shared" si="10"/>
        <v/>
      </c>
      <c r="X100" s="21" t="str">
        <f t="shared" si="11"/>
        <v/>
      </c>
    </row>
    <row r="101" spans="9:24" x14ac:dyDescent="0.35">
      <c r="I101" s="21" t="str">
        <f t="shared" si="6"/>
        <v/>
      </c>
      <c r="Q101" s="21" t="str">
        <f t="shared" si="7"/>
        <v>N/A</v>
      </c>
      <c r="R101" s="21" t="str">
        <f t="shared" si="8"/>
        <v>N/A</v>
      </c>
      <c r="T101" s="21" t="str">
        <f t="shared" si="9"/>
        <v/>
      </c>
      <c r="V101" s="21" t="str">
        <f t="shared" si="10"/>
        <v/>
      </c>
      <c r="X101" s="21" t="str">
        <f t="shared" si="11"/>
        <v/>
      </c>
    </row>
    <row r="102" spans="9:24" x14ac:dyDescent="0.35">
      <c r="I102" s="21" t="str">
        <f t="shared" si="6"/>
        <v/>
      </c>
      <c r="Q102" s="21" t="str">
        <f t="shared" si="7"/>
        <v>N/A</v>
      </c>
      <c r="R102" s="21" t="str">
        <f t="shared" si="8"/>
        <v>N/A</v>
      </c>
      <c r="T102" s="21" t="str">
        <f t="shared" si="9"/>
        <v/>
      </c>
      <c r="V102" s="21" t="str">
        <f t="shared" si="10"/>
        <v/>
      </c>
      <c r="X102" s="21" t="str">
        <f t="shared" si="11"/>
        <v/>
      </c>
    </row>
    <row r="103" spans="9:24" x14ac:dyDescent="0.35">
      <c r="I103" s="21" t="str">
        <f t="shared" si="6"/>
        <v/>
      </c>
      <c r="Q103" s="21" t="str">
        <f t="shared" si="7"/>
        <v>N/A</v>
      </c>
      <c r="R103" s="21" t="str">
        <f t="shared" si="8"/>
        <v>N/A</v>
      </c>
      <c r="T103" s="21" t="str">
        <f t="shared" si="9"/>
        <v/>
      </c>
      <c r="V103" s="21" t="str">
        <f t="shared" si="10"/>
        <v/>
      </c>
      <c r="X103" s="21" t="str">
        <f t="shared" si="11"/>
        <v/>
      </c>
    </row>
    <row r="104" spans="9:24" x14ac:dyDescent="0.35">
      <c r="I104" s="21" t="str">
        <f t="shared" si="6"/>
        <v/>
      </c>
      <c r="Q104" s="21" t="str">
        <f t="shared" si="7"/>
        <v>N/A</v>
      </c>
      <c r="R104" s="21" t="str">
        <f t="shared" si="8"/>
        <v>N/A</v>
      </c>
      <c r="T104" s="21" t="str">
        <f t="shared" si="9"/>
        <v/>
      </c>
      <c r="V104" s="21" t="str">
        <f t="shared" si="10"/>
        <v/>
      </c>
      <c r="X104" s="21" t="str">
        <f t="shared" si="11"/>
        <v/>
      </c>
    </row>
    <row r="105" spans="9:24" x14ac:dyDescent="0.35">
      <c r="I105" s="21" t="str">
        <f t="shared" si="6"/>
        <v/>
      </c>
      <c r="Q105" s="21" t="str">
        <f t="shared" si="7"/>
        <v>N/A</v>
      </c>
      <c r="R105" s="21" t="str">
        <f t="shared" si="8"/>
        <v>N/A</v>
      </c>
      <c r="T105" s="21" t="str">
        <f t="shared" si="9"/>
        <v/>
      </c>
      <c r="V105" s="21" t="str">
        <f t="shared" si="10"/>
        <v/>
      </c>
      <c r="X105" s="21" t="str">
        <f t="shared" si="11"/>
        <v/>
      </c>
    </row>
    <row r="106" spans="9:24" x14ac:dyDescent="0.35">
      <c r="I106" s="21" t="str">
        <f t="shared" si="6"/>
        <v/>
      </c>
      <c r="Q106" s="21" t="str">
        <f t="shared" si="7"/>
        <v>N/A</v>
      </c>
      <c r="R106" s="21" t="str">
        <f t="shared" si="8"/>
        <v>N/A</v>
      </c>
      <c r="T106" s="21" t="str">
        <f t="shared" si="9"/>
        <v/>
      </c>
      <c r="V106" s="21" t="str">
        <f t="shared" si="10"/>
        <v/>
      </c>
      <c r="X106" s="21" t="str">
        <f t="shared" si="11"/>
        <v/>
      </c>
    </row>
    <row r="107" spans="9:24" x14ac:dyDescent="0.35">
      <c r="I107" s="21" t="str">
        <f t="shared" si="6"/>
        <v/>
      </c>
      <c r="Q107" s="21" t="str">
        <f t="shared" si="7"/>
        <v>N/A</v>
      </c>
      <c r="R107" s="21" t="str">
        <f t="shared" si="8"/>
        <v>N/A</v>
      </c>
      <c r="T107" s="21" t="str">
        <f t="shared" si="9"/>
        <v/>
      </c>
      <c r="V107" s="21" t="str">
        <f t="shared" si="10"/>
        <v/>
      </c>
      <c r="X107" s="21" t="str">
        <f t="shared" si="11"/>
        <v/>
      </c>
    </row>
    <row r="108" spans="9:24" x14ac:dyDescent="0.35">
      <c r="I108" s="21" t="str">
        <f t="shared" si="6"/>
        <v/>
      </c>
      <c r="Q108" s="21" t="str">
        <f t="shared" si="7"/>
        <v>N/A</v>
      </c>
      <c r="R108" s="21" t="str">
        <f t="shared" si="8"/>
        <v>N/A</v>
      </c>
      <c r="T108" s="21" t="str">
        <f t="shared" si="9"/>
        <v/>
      </c>
      <c r="V108" s="21" t="str">
        <f t="shared" si="10"/>
        <v/>
      </c>
      <c r="X108" s="21" t="str">
        <f t="shared" si="11"/>
        <v/>
      </c>
    </row>
    <row r="109" spans="9:24" x14ac:dyDescent="0.35">
      <c r="I109" s="21" t="str">
        <f t="shared" si="6"/>
        <v/>
      </c>
      <c r="Q109" s="21" t="str">
        <f t="shared" si="7"/>
        <v>N/A</v>
      </c>
      <c r="R109" s="21" t="str">
        <f t="shared" si="8"/>
        <v>N/A</v>
      </c>
      <c r="T109" s="21" t="str">
        <f t="shared" si="9"/>
        <v/>
      </c>
      <c r="V109" s="21" t="str">
        <f t="shared" si="10"/>
        <v/>
      </c>
      <c r="X109" s="21" t="str">
        <f t="shared" si="11"/>
        <v/>
      </c>
    </row>
    <row r="110" spans="9:24" x14ac:dyDescent="0.35">
      <c r="I110" s="21" t="str">
        <f t="shared" si="6"/>
        <v/>
      </c>
      <c r="Q110" s="21" t="str">
        <f t="shared" si="7"/>
        <v>N/A</v>
      </c>
      <c r="R110" s="21" t="str">
        <f t="shared" si="8"/>
        <v>N/A</v>
      </c>
      <c r="T110" s="21" t="str">
        <f t="shared" si="9"/>
        <v/>
      </c>
      <c r="V110" s="21" t="str">
        <f t="shared" si="10"/>
        <v/>
      </c>
      <c r="X110" s="21" t="str">
        <f t="shared" si="11"/>
        <v/>
      </c>
    </row>
    <row r="111" spans="9:24" x14ac:dyDescent="0.35">
      <c r="I111" s="21" t="str">
        <f t="shared" si="6"/>
        <v/>
      </c>
      <c r="Q111" s="21" t="str">
        <f t="shared" si="7"/>
        <v>N/A</v>
      </c>
      <c r="R111" s="21" t="str">
        <f t="shared" si="8"/>
        <v>N/A</v>
      </c>
      <c r="T111" s="21" t="str">
        <f t="shared" si="9"/>
        <v/>
      </c>
      <c r="V111" s="21" t="str">
        <f t="shared" si="10"/>
        <v/>
      </c>
      <c r="X111" s="21" t="str">
        <f t="shared" si="11"/>
        <v/>
      </c>
    </row>
    <row r="112" spans="9:24" x14ac:dyDescent="0.35">
      <c r="I112" s="21" t="str">
        <f t="shared" si="6"/>
        <v/>
      </c>
      <c r="Q112" s="21" t="str">
        <f t="shared" si="7"/>
        <v>N/A</v>
      </c>
      <c r="R112" s="21" t="str">
        <f t="shared" si="8"/>
        <v>N/A</v>
      </c>
      <c r="T112" s="21" t="str">
        <f t="shared" si="9"/>
        <v/>
      </c>
      <c r="V112" s="21" t="str">
        <f t="shared" si="10"/>
        <v/>
      </c>
      <c r="X112" s="21" t="str">
        <f t="shared" si="11"/>
        <v/>
      </c>
    </row>
    <row r="113" spans="9:24" x14ac:dyDescent="0.35">
      <c r="I113" s="21" t="str">
        <f t="shared" si="6"/>
        <v/>
      </c>
      <c r="Q113" s="21" t="str">
        <f t="shared" si="7"/>
        <v>N/A</v>
      </c>
      <c r="R113" s="21" t="str">
        <f t="shared" si="8"/>
        <v>N/A</v>
      </c>
      <c r="T113" s="21" t="str">
        <f t="shared" si="9"/>
        <v/>
      </c>
      <c r="V113" s="21" t="str">
        <f t="shared" si="10"/>
        <v/>
      </c>
      <c r="X113" s="21" t="str">
        <f t="shared" si="11"/>
        <v/>
      </c>
    </row>
    <row r="114" spans="9:24" x14ac:dyDescent="0.35">
      <c r="I114" s="21" t="str">
        <f t="shared" si="6"/>
        <v/>
      </c>
      <c r="Q114" s="21" t="str">
        <f t="shared" si="7"/>
        <v>N/A</v>
      </c>
      <c r="R114" s="21" t="str">
        <f t="shared" si="8"/>
        <v>N/A</v>
      </c>
      <c r="T114" s="21" t="str">
        <f t="shared" si="9"/>
        <v/>
      </c>
      <c r="V114" s="21" t="str">
        <f t="shared" si="10"/>
        <v/>
      </c>
      <c r="X114" s="21" t="str">
        <f t="shared" si="11"/>
        <v/>
      </c>
    </row>
    <row r="115" spans="9:24" x14ac:dyDescent="0.35">
      <c r="I115" s="21" t="str">
        <f t="shared" si="6"/>
        <v/>
      </c>
      <c r="Q115" s="21" t="str">
        <f t="shared" si="7"/>
        <v>N/A</v>
      </c>
      <c r="R115" s="21" t="str">
        <f t="shared" si="8"/>
        <v>N/A</v>
      </c>
      <c r="T115" s="21" t="str">
        <f t="shared" si="9"/>
        <v/>
      </c>
      <c r="V115" s="21" t="str">
        <f t="shared" si="10"/>
        <v/>
      </c>
      <c r="X115" s="21" t="str">
        <f t="shared" si="11"/>
        <v/>
      </c>
    </row>
    <row r="116" spans="9:24" x14ac:dyDescent="0.35">
      <c r="I116" s="21" t="str">
        <f t="shared" si="6"/>
        <v/>
      </c>
      <c r="Q116" s="21" t="str">
        <f t="shared" si="7"/>
        <v>N/A</v>
      </c>
      <c r="R116" s="21" t="str">
        <f t="shared" si="8"/>
        <v>N/A</v>
      </c>
      <c r="T116" s="21" t="str">
        <f t="shared" si="9"/>
        <v/>
      </c>
      <c r="V116" s="21" t="str">
        <f t="shared" si="10"/>
        <v/>
      </c>
      <c r="X116" s="21" t="str">
        <f t="shared" si="11"/>
        <v/>
      </c>
    </row>
    <row r="117" spans="9:24" x14ac:dyDescent="0.35">
      <c r="I117" s="21" t="str">
        <f t="shared" si="6"/>
        <v/>
      </c>
      <c r="Q117" s="21" t="str">
        <f t="shared" si="7"/>
        <v>N/A</v>
      </c>
      <c r="R117" s="21" t="str">
        <f t="shared" si="8"/>
        <v>N/A</v>
      </c>
      <c r="T117" s="21" t="str">
        <f t="shared" si="9"/>
        <v/>
      </c>
      <c r="V117" s="21" t="str">
        <f t="shared" si="10"/>
        <v/>
      </c>
      <c r="X117" s="21" t="str">
        <f t="shared" si="11"/>
        <v/>
      </c>
    </row>
    <row r="118" spans="9:24" x14ac:dyDescent="0.35">
      <c r="I118" s="21" t="str">
        <f t="shared" si="6"/>
        <v/>
      </c>
      <c r="Q118" s="21" t="str">
        <f t="shared" si="7"/>
        <v>N/A</v>
      </c>
      <c r="R118" s="21" t="str">
        <f t="shared" si="8"/>
        <v>N/A</v>
      </c>
      <c r="T118" s="21" t="str">
        <f t="shared" si="9"/>
        <v/>
      </c>
      <c r="V118" s="21" t="str">
        <f t="shared" si="10"/>
        <v/>
      </c>
      <c r="X118" s="21" t="str">
        <f t="shared" si="11"/>
        <v/>
      </c>
    </row>
    <row r="119" spans="9:24" x14ac:dyDescent="0.35">
      <c r="I119" s="21" t="str">
        <f t="shared" si="6"/>
        <v/>
      </c>
      <c r="Q119" s="21" t="str">
        <f t="shared" si="7"/>
        <v>N/A</v>
      </c>
      <c r="R119" s="21" t="str">
        <f t="shared" si="8"/>
        <v>N/A</v>
      </c>
      <c r="T119" s="21" t="str">
        <f t="shared" si="9"/>
        <v/>
      </c>
      <c r="V119" s="21" t="str">
        <f t="shared" si="10"/>
        <v/>
      </c>
      <c r="X119" s="21" t="str">
        <f t="shared" si="11"/>
        <v/>
      </c>
    </row>
    <row r="120" spans="9:24" x14ac:dyDescent="0.35">
      <c r="I120" s="21" t="str">
        <f t="shared" si="6"/>
        <v/>
      </c>
      <c r="Q120" s="21" t="str">
        <f t="shared" si="7"/>
        <v>N/A</v>
      </c>
      <c r="R120" s="21" t="str">
        <f t="shared" si="8"/>
        <v>N/A</v>
      </c>
      <c r="T120" s="21" t="str">
        <f t="shared" si="9"/>
        <v/>
      </c>
      <c r="V120" s="21" t="str">
        <f t="shared" si="10"/>
        <v/>
      </c>
      <c r="X120" s="21" t="str">
        <f t="shared" si="11"/>
        <v/>
      </c>
    </row>
    <row r="121" spans="9:24" x14ac:dyDescent="0.35">
      <c r="I121" s="21" t="str">
        <f t="shared" si="6"/>
        <v/>
      </c>
      <c r="Q121" s="21" t="str">
        <f t="shared" si="7"/>
        <v>N/A</v>
      </c>
      <c r="R121" s="21" t="str">
        <f t="shared" si="8"/>
        <v>N/A</v>
      </c>
      <c r="T121" s="21" t="str">
        <f t="shared" si="9"/>
        <v/>
      </c>
      <c r="V121" s="21" t="str">
        <f t="shared" si="10"/>
        <v/>
      </c>
      <c r="X121" s="21" t="str">
        <f t="shared" si="11"/>
        <v/>
      </c>
    </row>
    <row r="122" spans="9:24" x14ac:dyDescent="0.35">
      <c r="I122" s="21" t="str">
        <f t="shared" si="6"/>
        <v/>
      </c>
      <c r="Q122" s="21" t="str">
        <f t="shared" si="7"/>
        <v>N/A</v>
      </c>
      <c r="R122" s="21" t="str">
        <f t="shared" si="8"/>
        <v>N/A</v>
      </c>
      <c r="T122" s="21" t="str">
        <f t="shared" si="9"/>
        <v/>
      </c>
      <c r="V122" s="21" t="str">
        <f t="shared" si="10"/>
        <v/>
      </c>
      <c r="X122" s="21" t="str">
        <f t="shared" si="11"/>
        <v/>
      </c>
    </row>
    <row r="123" spans="9:24" x14ac:dyDescent="0.35">
      <c r="I123" s="21" t="str">
        <f t="shared" si="6"/>
        <v/>
      </c>
      <c r="Q123" s="21" t="str">
        <f t="shared" si="7"/>
        <v>N/A</v>
      </c>
      <c r="R123" s="21" t="str">
        <f t="shared" si="8"/>
        <v>N/A</v>
      </c>
      <c r="T123" s="21" t="str">
        <f t="shared" si="9"/>
        <v/>
      </c>
      <c r="V123" s="21" t="str">
        <f t="shared" si="10"/>
        <v/>
      </c>
      <c r="X123" s="21" t="str">
        <f t="shared" si="11"/>
        <v/>
      </c>
    </row>
    <row r="124" spans="9:24" x14ac:dyDescent="0.35">
      <c r="I124" s="21" t="str">
        <f t="shared" si="6"/>
        <v/>
      </c>
      <c r="Q124" s="21" t="str">
        <f t="shared" si="7"/>
        <v>N/A</v>
      </c>
      <c r="R124" s="21" t="str">
        <f t="shared" si="8"/>
        <v>N/A</v>
      </c>
      <c r="T124" s="21" t="str">
        <f t="shared" si="9"/>
        <v/>
      </c>
      <c r="V124" s="21" t="str">
        <f t="shared" si="10"/>
        <v/>
      </c>
      <c r="X124" s="21" t="str">
        <f t="shared" si="11"/>
        <v/>
      </c>
    </row>
    <row r="125" spans="9:24" x14ac:dyDescent="0.35">
      <c r="I125" s="21" t="str">
        <f t="shared" si="6"/>
        <v/>
      </c>
      <c r="Q125" s="21" t="str">
        <f t="shared" si="7"/>
        <v>N/A</v>
      </c>
      <c r="R125" s="21" t="str">
        <f t="shared" si="8"/>
        <v>N/A</v>
      </c>
      <c r="T125" s="21" t="str">
        <f t="shared" si="9"/>
        <v/>
      </c>
      <c r="V125" s="21" t="str">
        <f t="shared" si="10"/>
        <v/>
      </c>
      <c r="X125" s="21" t="str">
        <f t="shared" si="11"/>
        <v/>
      </c>
    </row>
    <row r="126" spans="9:24" x14ac:dyDescent="0.35">
      <c r="I126" s="21" t="str">
        <f t="shared" si="6"/>
        <v/>
      </c>
      <c r="Q126" s="21" t="str">
        <f t="shared" si="7"/>
        <v>N/A</v>
      </c>
      <c r="R126" s="21" t="str">
        <f t="shared" si="8"/>
        <v>N/A</v>
      </c>
      <c r="T126" s="21" t="str">
        <f t="shared" si="9"/>
        <v/>
      </c>
      <c r="V126" s="21" t="str">
        <f t="shared" si="10"/>
        <v/>
      </c>
      <c r="X126" s="21" t="str">
        <f t="shared" si="11"/>
        <v/>
      </c>
    </row>
    <row r="127" spans="9:24" x14ac:dyDescent="0.35">
      <c r="I127" s="21" t="str">
        <f t="shared" si="6"/>
        <v/>
      </c>
      <c r="Q127" s="21" t="str">
        <f t="shared" si="7"/>
        <v>N/A</v>
      </c>
      <c r="R127" s="21" t="str">
        <f t="shared" si="8"/>
        <v>N/A</v>
      </c>
      <c r="T127" s="21" t="str">
        <f t="shared" si="9"/>
        <v/>
      </c>
      <c r="V127" s="21" t="str">
        <f t="shared" si="10"/>
        <v/>
      </c>
      <c r="X127" s="21" t="str">
        <f t="shared" si="11"/>
        <v/>
      </c>
    </row>
    <row r="128" spans="9:24" x14ac:dyDescent="0.35">
      <c r="I128" s="21" t="str">
        <f t="shared" si="6"/>
        <v/>
      </c>
      <c r="Q128" s="21" t="str">
        <f t="shared" si="7"/>
        <v>N/A</v>
      </c>
      <c r="R128" s="21" t="str">
        <f t="shared" si="8"/>
        <v>N/A</v>
      </c>
      <c r="T128" s="21" t="str">
        <f t="shared" si="9"/>
        <v/>
      </c>
      <c r="V128" s="21" t="str">
        <f t="shared" si="10"/>
        <v/>
      </c>
      <c r="X128" s="21" t="str">
        <f t="shared" si="11"/>
        <v/>
      </c>
    </row>
    <row r="129" spans="9:24" x14ac:dyDescent="0.35">
      <c r="I129" s="21" t="str">
        <f t="shared" si="6"/>
        <v/>
      </c>
      <c r="Q129" s="21" t="str">
        <f t="shared" si="7"/>
        <v>N/A</v>
      </c>
      <c r="R129" s="21" t="str">
        <f t="shared" si="8"/>
        <v>N/A</v>
      </c>
      <c r="T129" s="21" t="str">
        <f t="shared" si="9"/>
        <v/>
      </c>
      <c r="V129" s="21" t="str">
        <f t="shared" si="10"/>
        <v/>
      </c>
      <c r="X129" s="21" t="str">
        <f t="shared" si="11"/>
        <v/>
      </c>
    </row>
    <row r="130" spans="9:24" x14ac:dyDescent="0.35">
      <c r="I130" s="21" t="str">
        <f t="shared" si="6"/>
        <v/>
      </c>
      <c r="Q130" s="21" t="str">
        <f t="shared" si="7"/>
        <v>N/A</v>
      </c>
      <c r="R130" s="21" t="str">
        <f t="shared" si="8"/>
        <v>N/A</v>
      </c>
      <c r="T130" s="21" t="str">
        <f t="shared" si="9"/>
        <v/>
      </c>
      <c r="V130" s="21" t="str">
        <f t="shared" si="10"/>
        <v/>
      </c>
      <c r="X130" s="21" t="str">
        <f t="shared" si="11"/>
        <v/>
      </c>
    </row>
    <row r="131" spans="9:24" x14ac:dyDescent="0.35">
      <c r="I131" s="21" t="str">
        <f t="shared" si="6"/>
        <v/>
      </c>
      <c r="Q131" s="21" t="str">
        <f t="shared" si="7"/>
        <v>N/A</v>
      </c>
      <c r="R131" s="21" t="str">
        <f t="shared" si="8"/>
        <v>N/A</v>
      </c>
      <c r="T131" s="21" t="str">
        <f t="shared" si="9"/>
        <v/>
      </c>
      <c r="V131" s="21" t="str">
        <f t="shared" si="10"/>
        <v/>
      </c>
      <c r="X131" s="21" t="str">
        <f t="shared" si="11"/>
        <v/>
      </c>
    </row>
    <row r="132" spans="9:24" x14ac:dyDescent="0.35">
      <c r="I132" s="21" t="str">
        <f t="shared" si="6"/>
        <v/>
      </c>
      <c r="Q132" s="21" t="str">
        <f t="shared" si="7"/>
        <v>N/A</v>
      </c>
      <c r="R132" s="21" t="str">
        <f t="shared" si="8"/>
        <v>N/A</v>
      </c>
      <c r="T132" s="21" t="str">
        <f t="shared" si="9"/>
        <v/>
      </c>
      <c r="V132" s="21" t="str">
        <f t="shared" si="10"/>
        <v/>
      </c>
      <c r="X132" s="21" t="str">
        <f t="shared" si="11"/>
        <v/>
      </c>
    </row>
    <row r="133" spans="9:24" x14ac:dyDescent="0.35">
      <c r="I133" s="21" t="str">
        <f t="shared" si="6"/>
        <v/>
      </c>
      <c r="Q133" s="21" t="str">
        <f t="shared" si="7"/>
        <v>N/A</v>
      </c>
      <c r="R133" s="21" t="str">
        <f t="shared" si="8"/>
        <v>N/A</v>
      </c>
      <c r="T133" s="21" t="str">
        <f t="shared" si="9"/>
        <v/>
      </c>
      <c r="V133" s="21" t="str">
        <f t="shared" si="10"/>
        <v/>
      </c>
      <c r="X133" s="21" t="str">
        <f t="shared" si="11"/>
        <v/>
      </c>
    </row>
    <row r="134" spans="9:24" x14ac:dyDescent="0.35">
      <c r="I134" s="21" t="str">
        <f t="shared" ref="I134:I197" si="12">IF(OR(G134&lt;&gt;"",H134&lt;&gt;""),G134-H134,"")</f>
        <v/>
      </c>
      <c r="Q134" s="21" t="str">
        <f t="shared" ref="Q134:Q197" si="13">IFERROR(IF(K134="","N/A",IF(ISNUMBER(MATCH(K134,OLD_PROJECTS,0)),"Yes","No")),"N/A")</f>
        <v>N/A</v>
      </c>
      <c r="R134" s="21" t="str">
        <f t="shared" ref="R134:R197" si="14">IFERROR(IF(K134="","N/A",IF(Q134="Yes","No","Yes")),"N/A")</f>
        <v>N/A</v>
      </c>
      <c r="T134" s="21" t="str">
        <f t="shared" ref="T134:T197" si="15">IFERROR(IF(S134="","",IF(S134="SHARED","Yes",IF(AND(INDEX(COA_OVERHEAD,MATCH(D134,COA_LEDGER,0))="Y",S134="OLD"),"Yes",IF(AND(INDEX(COA_CLASS,MATCH(D134,COA_LEDGER,0))="Income",S134="NEW",Q134="Yes"),"Yes","No")))),"Check Ledger")</f>
        <v/>
      </c>
      <c r="V134" s="21" t="str">
        <f t="shared" ref="V134:V197" si="16">IFERROR(IF(D134="","",IF(INDEX(COA_COMPANY,MATCH(D134,COA_LEDGER,0))="New Company","NEW",IF(INDEX(COA_COMPANY,MATCH(D134,COA_LEDGER,0))="Old Company","OLD",IF(Q134="Yes","OLD","NEW")))),"Check Ledger")</f>
        <v/>
      </c>
      <c r="X134" s="21" t="str">
        <f t="shared" ref="X134:X197" si="17">IFERROR(IF(B134="","",IF(ROUND(SUMIF(TXN_VNO,B134,TXN_DEBIT)-SUMIF(TXN_VNO,B134,TXN_CREDIT),2)=0,"Yes","No")),"")</f>
        <v/>
      </c>
    </row>
    <row r="135" spans="9:24" x14ac:dyDescent="0.35">
      <c r="I135" s="21" t="str">
        <f t="shared" si="12"/>
        <v/>
      </c>
      <c r="Q135" s="21" t="str">
        <f t="shared" si="13"/>
        <v>N/A</v>
      </c>
      <c r="R135" s="21" t="str">
        <f t="shared" si="14"/>
        <v>N/A</v>
      </c>
      <c r="T135" s="21" t="str">
        <f t="shared" si="15"/>
        <v/>
      </c>
      <c r="V135" s="21" t="str">
        <f t="shared" si="16"/>
        <v/>
      </c>
      <c r="X135" s="21" t="str">
        <f t="shared" si="17"/>
        <v/>
      </c>
    </row>
    <row r="136" spans="9:24" x14ac:dyDescent="0.35">
      <c r="I136" s="21" t="str">
        <f t="shared" si="12"/>
        <v/>
      </c>
      <c r="Q136" s="21" t="str">
        <f t="shared" si="13"/>
        <v>N/A</v>
      </c>
      <c r="R136" s="21" t="str">
        <f t="shared" si="14"/>
        <v>N/A</v>
      </c>
      <c r="T136" s="21" t="str">
        <f t="shared" si="15"/>
        <v/>
      </c>
      <c r="V136" s="21" t="str">
        <f t="shared" si="16"/>
        <v/>
      </c>
      <c r="X136" s="21" t="str">
        <f t="shared" si="17"/>
        <v/>
      </c>
    </row>
    <row r="137" spans="9:24" x14ac:dyDescent="0.35">
      <c r="I137" s="21" t="str">
        <f t="shared" si="12"/>
        <v/>
      </c>
      <c r="Q137" s="21" t="str">
        <f t="shared" si="13"/>
        <v>N/A</v>
      </c>
      <c r="R137" s="21" t="str">
        <f t="shared" si="14"/>
        <v>N/A</v>
      </c>
      <c r="T137" s="21" t="str">
        <f t="shared" si="15"/>
        <v/>
      </c>
      <c r="V137" s="21" t="str">
        <f t="shared" si="16"/>
        <v/>
      </c>
      <c r="X137" s="21" t="str">
        <f t="shared" si="17"/>
        <v/>
      </c>
    </row>
    <row r="138" spans="9:24" x14ac:dyDescent="0.35">
      <c r="I138" s="21" t="str">
        <f t="shared" si="12"/>
        <v/>
      </c>
      <c r="Q138" s="21" t="str">
        <f t="shared" si="13"/>
        <v>N/A</v>
      </c>
      <c r="R138" s="21" t="str">
        <f t="shared" si="14"/>
        <v>N/A</v>
      </c>
      <c r="T138" s="21" t="str">
        <f t="shared" si="15"/>
        <v/>
      </c>
      <c r="V138" s="21" t="str">
        <f t="shared" si="16"/>
        <v/>
      </c>
      <c r="X138" s="21" t="str">
        <f t="shared" si="17"/>
        <v/>
      </c>
    </row>
    <row r="139" spans="9:24" x14ac:dyDescent="0.35">
      <c r="I139" s="21" t="str">
        <f t="shared" si="12"/>
        <v/>
      </c>
      <c r="Q139" s="21" t="str">
        <f t="shared" si="13"/>
        <v>N/A</v>
      </c>
      <c r="R139" s="21" t="str">
        <f t="shared" si="14"/>
        <v>N/A</v>
      </c>
      <c r="T139" s="21" t="str">
        <f t="shared" si="15"/>
        <v/>
      </c>
      <c r="V139" s="21" t="str">
        <f t="shared" si="16"/>
        <v/>
      </c>
      <c r="X139" s="21" t="str">
        <f t="shared" si="17"/>
        <v/>
      </c>
    </row>
    <row r="140" spans="9:24" x14ac:dyDescent="0.35">
      <c r="I140" s="21" t="str">
        <f t="shared" si="12"/>
        <v/>
      </c>
      <c r="Q140" s="21" t="str">
        <f t="shared" si="13"/>
        <v>N/A</v>
      </c>
      <c r="R140" s="21" t="str">
        <f t="shared" si="14"/>
        <v>N/A</v>
      </c>
      <c r="T140" s="21" t="str">
        <f t="shared" si="15"/>
        <v/>
      </c>
      <c r="V140" s="21" t="str">
        <f t="shared" si="16"/>
        <v/>
      </c>
      <c r="X140" s="21" t="str">
        <f t="shared" si="17"/>
        <v/>
      </c>
    </row>
    <row r="141" spans="9:24" x14ac:dyDescent="0.35">
      <c r="I141" s="21" t="str">
        <f t="shared" si="12"/>
        <v/>
      </c>
      <c r="Q141" s="21" t="str">
        <f t="shared" si="13"/>
        <v>N/A</v>
      </c>
      <c r="R141" s="21" t="str">
        <f t="shared" si="14"/>
        <v>N/A</v>
      </c>
      <c r="T141" s="21" t="str">
        <f t="shared" si="15"/>
        <v/>
      </c>
      <c r="V141" s="21" t="str">
        <f t="shared" si="16"/>
        <v/>
      </c>
      <c r="X141" s="21" t="str">
        <f t="shared" si="17"/>
        <v/>
      </c>
    </row>
    <row r="142" spans="9:24" x14ac:dyDescent="0.35">
      <c r="I142" s="21" t="str">
        <f t="shared" si="12"/>
        <v/>
      </c>
      <c r="Q142" s="21" t="str">
        <f t="shared" si="13"/>
        <v>N/A</v>
      </c>
      <c r="R142" s="21" t="str">
        <f t="shared" si="14"/>
        <v>N/A</v>
      </c>
      <c r="T142" s="21" t="str">
        <f t="shared" si="15"/>
        <v/>
      </c>
      <c r="V142" s="21" t="str">
        <f t="shared" si="16"/>
        <v/>
      </c>
      <c r="X142" s="21" t="str">
        <f t="shared" si="17"/>
        <v/>
      </c>
    </row>
    <row r="143" spans="9:24" x14ac:dyDescent="0.35">
      <c r="I143" s="21" t="str">
        <f t="shared" si="12"/>
        <v/>
      </c>
      <c r="Q143" s="21" t="str">
        <f t="shared" si="13"/>
        <v>N/A</v>
      </c>
      <c r="R143" s="21" t="str">
        <f t="shared" si="14"/>
        <v>N/A</v>
      </c>
      <c r="T143" s="21" t="str">
        <f t="shared" si="15"/>
        <v/>
      </c>
      <c r="V143" s="21" t="str">
        <f t="shared" si="16"/>
        <v/>
      </c>
      <c r="X143" s="21" t="str">
        <f t="shared" si="17"/>
        <v/>
      </c>
    </row>
    <row r="144" spans="9:24" x14ac:dyDescent="0.35">
      <c r="I144" s="21" t="str">
        <f t="shared" si="12"/>
        <v/>
      </c>
      <c r="Q144" s="21" t="str">
        <f t="shared" si="13"/>
        <v>N/A</v>
      </c>
      <c r="R144" s="21" t="str">
        <f t="shared" si="14"/>
        <v>N/A</v>
      </c>
      <c r="T144" s="21" t="str">
        <f t="shared" si="15"/>
        <v/>
      </c>
      <c r="V144" s="21" t="str">
        <f t="shared" si="16"/>
        <v/>
      </c>
      <c r="X144" s="21" t="str">
        <f t="shared" si="17"/>
        <v/>
      </c>
    </row>
    <row r="145" spans="9:24" x14ac:dyDescent="0.35">
      <c r="I145" s="21" t="str">
        <f t="shared" si="12"/>
        <v/>
      </c>
      <c r="Q145" s="21" t="str">
        <f t="shared" si="13"/>
        <v>N/A</v>
      </c>
      <c r="R145" s="21" t="str">
        <f t="shared" si="14"/>
        <v>N/A</v>
      </c>
      <c r="T145" s="21" t="str">
        <f t="shared" si="15"/>
        <v/>
      </c>
      <c r="V145" s="21" t="str">
        <f t="shared" si="16"/>
        <v/>
      </c>
      <c r="X145" s="21" t="str">
        <f t="shared" si="17"/>
        <v/>
      </c>
    </row>
    <row r="146" spans="9:24" x14ac:dyDescent="0.35">
      <c r="I146" s="21" t="str">
        <f t="shared" si="12"/>
        <v/>
      </c>
      <c r="Q146" s="21" t="str">
        <f t="shared" si="13"/>
        <v>N/A</v>
      </c>
      <c r="R146" s="21" t="str">
        <f t="shared" si="14"/>
        <v>N/A</v>
      </c>
      <c r="T146" s="21" t="str">
        <f t="shared" si="15"/>
        <v/>
      </c>
      <c r="V146" s="21" t="str">
        <f t="shared" si="16"/>
        <v/>
      </c>
      <c r="X146" s="21" t="str">
        <f t="shared" si="17"/>
        <v/>
      </c>
    </row>
    <row r="147" spans="9:24" x14ac:dyDescent="0.35">
      <c r="I147" s="21" t="str">
        <f t="shared" si="12"/>
        <v/>
      </c>
      <c r="Q147" s="21" t="str">
        <f t="shared" si="13"/>
        <v>N/A</v>
      </c>
      <c r="R147" s="21" t="str">
        <f t="shared" si="14"/>
        <v>N/A</v>
      </c>
      <c r="T147" s="21" t="str">
        <f t="shared" si="15"/>
        <v/>
      </c>
      <c r="V147" s="21" t="str">
        <f t="shared" si="16"/>
        <v/>
      </c>
      <c r="X147" s="21" t="str">
        <f t="shared" si="17"/>
        <v/>
      </c>
    </row>
    <row r="148" spans="9:24" x14ac:dyDescent="0.35">
      <c r="I148" s="21" t="str">
        <f t="shared" si="12"/>
        <v/>
      </c>
      <c r="Q148" s="21" t="str">
        <f t="shared" si="13"/>
        <v>N/A</v>
      </c>
      <c r="R148" s="21" t="str">
        <f t="shared" si="14"/>
        <v>N/A</v>
      </c>
      <c r="T148" s="21" t="str">
        <f t="shared" si="15"/>
        <v/>
      </c>
      <c r="V148" s="21" t="str">
        <f t="shared" si="16"/>
        <v/>
      </c>
      <c r="X148" s="21" t="str">
        <f t="shared" si="17"/>
        <v/>
      </c>
    </row>
    <row r="149" spans="9:24" x14ac:dyDescent="0.35">
      <c r="I149" s="21" t="str">
        <f t="shared" si="12"/>
        <v/>
      </c>
      <c r="Q149" s="21" t="str">
        <f t="shared" si="13"/>
        <v>N/A</v>
      </c>
      <c r="R149" s="21" t="str">
        <f t="shared" si="14"/>
        <v>N/A</v>
      </c>
      <c r="T149" s="21" t="str">
        <f t="shared" si="15"/>
        <v/>
      </c>
      <c r="V149" s="21" t="str">
        <f t="shared" si="16"/>
        <v/>
      </c>
      <c r="X149" s="21" t="str">
        <f t="shared" si="17"/>
        <v/>
      </c>
    </row>
    <row r="150" spans="9:24" x14ac:dyDescent="0.35">
      <c r="I150" s="21" t="str">
        <f t="shared" si="12"/>
        <v/>
      </c>
      <c r="Q150" s="21" t="str">
        <f t="shared" si="13"/>
        <v>N/A</v>
      </c>
      <c r="R150" s="21" t="str">
        <f t="shared" si="14"/>
        <v>N/A</v>
      </c>
      <c r="T150" s="21" t="str">
        <f t="shared" si="15"/>
        <v/>
      </c>
      <c r="V150" s="21" t="str">
        <f t="shared" si="16"/>
        <v/>
      </c>
      <c r="X150" s="21" t="str">
        <f t="shared" si="17"/>
        <v/>
      </c>
    </row>
    <row r="151" spans="9:24" x14ac:dyDescent="0.35">
      <c r="I151" s="21" t="str">
        <f t="shared" si="12"/>
        <v/>
      </c>
      <c r="Q151" s="21" t="str">
        <f t="shared" si="13"/>
        <v>N/A</v>
      </c>
      <c r="R151" s="21" t="str">
        <f t="shared" si="14"/>
        <v>N/A</v>
      </c>
      <c r="T151" s="21" t="str">
        <f t="shared" si="15"/>
        <v/>
      </c>
      <c r="V151" s="21" t="str">
        <f t="shared" si="16"/>
        <v/>
      </c>
      <c r="X151" s="21" t="str">
        <f t="shared" si="17"/>
        <v/>
      </c>
    </row>
    <row r="152" spans="9:24" x14ac:dyDescent="0.35">
      <c r="I152" s="21" t="str">
        <f t="shared" si="12"/>
        <v/>
      </c>
      <c r="Q152" s="21" t="str">
        <f t="shared" si="13"/>
        <v>N/A</v>
      </c>
      <c r="R152" s="21" t="str">
        <f t="shared" si="14"/>
        <v>N/A</v>
      </c>
      <c r="T152" s="21" t="str">
        <f t="shared" si="15"/>
        <v/>
      </c>
      <c r="V152" s="21" t="str">
        <f t="shared" si="16"/>
        <v/>
      </c>
      <c r="X152" s="21" t="str">
        <f t="shared" si="17"/>
        <v/>
      </c>
    </row>
    <row r="153" spans="9:24" x14ac:dyDescent="0.35">
      <c r="I153" s="21" t="str">
        <f t="shared" si="12"/>
        <v/>
      </c>
      <c r="Q153" s="21" t="str">
        <f t="shared" si="13"/>
        <v>N/A</v>
      </c>
      <c r="R153" s="21" t="str">
        <f t="shared" si="14"/>
        <v>N/A</v>
      </c>
      <c r="T153" s="21" t="str">
        <f t="shared" si="15"/>
        <v/>
      </c>
      <c r="V153" s="21" t="str">
        <f t="shared" si="16"/>
        <v/>
      </c>
      <c r="X153" s="21" t="str">
        <f t="shared" si="17"/>
        <v/>
      </c>
    </row>
    <row r="154" spans="9:24" x14ac:dyDescent="0.35">
      <c r="I154" s="21" t="str">
        <f t="shared" si="12"/>
        <v/>
      </c>
      <c r="Q154" s="21" t="str">
        <f t="shared" si="13"/>
        <v>N/A</v>
      </c>
      <c r="R154" s="21" t="str">
        <f t="shared" si="14"/>
        <v>N/A</v>
      </c>
      <c r="T154" s="21" t="str">
        <f t="shared" si="15"/>
        <v/>
      </c>
      <c r="V154" s="21" t="str">
        <f t="shared" si="16"/>
        <v/>
      </c>
      <c r="X154" s="21" t="str">
        <f t="shared" si="17"/>
        <v/>
      </c>
    </row>
    <row r="155" spans="9:24" x14ac:dyDescent="0.35">
      <c r="I155" s="21" t="str">
        <f t="shared" si="12"/>
        <v/>
      </c>
      <c r="Q155" s="21" t="str">
        <f t="shared" si="13"/>
        <v>N/A</v>
      </c>
      <c r="R155" s="21" t="str">
        <f t="shared" si="14"/>
        <v>N/A</v>
      </c>
      <c r="T155" s="21" t="str">
        <f t="shared" si="15"/>
        <v/>
      </c>
      <c r="V155" s="21" t="str">
        <f t="shared" si="16"/>
        <v/>
      </c>
      <c r="X155" s="21" t="str">
        <f t="shared" si="17"/>
        <v/>
      </c>
    </row>
    <row r="156" spans="9:24" x14ac:dyDescent="0.35">
      <c r="I156" s="21" t="str">
        <f t="shared" si="12"/>
        <v/>
      </c>
      <c r="Q156" s="21" t="str">
        <f t="shared" si="13"/>
        <v>N/A</v>
      </c>
      <c r="R156" s="21" t="str">
        <f t="shared" si="14"/>
        <v>N/A</v>
      </c>
      <c r="T156" s="21" t="str">
        <f t="shared" si="15"/>
        <v/>
      </c>
      <c r="V156" s="21" t="str">
        <f t="shared" si="16"/>
        <v/>
      </c>
      <c r="X156" s="21" t="str">
        <f t="shared" si="17"/>
        <v/>
      </c>
    </row>
    <row r="157" spans="9:24" x14ac:dyDescent="0.35">
      <c r="I157" s="21" t="str">
        <f t="shared" si="12"/>
        <v/>
      </c>
      <c r="Q157" s="21" t="str">
        <f t="shared" si="13"/>
        <v>N/A</v>
      </c>
      <c r="R157" s="21" t="str">
        <f t="shared" si="14"/>
        <v>N/A</v>
      </c>
      <c r="T157" s="21" t="str">
        <f t="shared" si="15"/>
        <v/>
      </c>
      <c r="V157" s="21" t="str">
        <f t="shared" si="16"/>
        <v/>
      </c>
      <c r="X157" s="21" t="str">
        <f t="shared" si="17"/>
        <v/>
      </c>
    </row>
    <row r="158" spans="9:24" x14ac:dyDescent="0.35">
      <c r="I158" s="21" t="str">
        <f t="shared" si="12"/>
        <v/>
      </c>
      <c r="Q158" s="21" t="str">
        <f t="shared" si="13"/>
        <v>N/A</v>
      </c>
      <c r="R158" s="21" t="str">
        <f t="shared" si="14"/>
        <v>N/A</v>
      </c>
      <c r="T158" s="21" t="str">
        <f t="shared" si="15"/>
        <v/>
      </c>
      <c r="V158" s="21" t="str">
        <f t="shared" si="16"/>
        <v/>
      </c>
      <c r="X158" s="21" t="str">
        <f t="shared" si="17"/>
        <v/>
      </c>
    </row>
    <row r="159" spans="9:24" x14ac:dyDescent="0.35">
      <c r="I159" s="21" t="str">
        <f t="shared" si="12"/>
        <v/>
      </c>
      <c r="Q159" s="21" t="str">
        <f t="shared" si="13"/>
        <v>N/A</v>
      </c>
      <c r="R159" s="21" t="str">
        <f t="shared" si="14"/>
        <v>N/A</v>
      </c>
      <c r="T159" s="21" t="str">
        <f t="shared" si="15"/>
        <v/>
      </c>
      <c r="V159" s="21" t="str">
        <f t="shared" si="16"/>
        <v/>
      </c>
      <c r="X159" s="21" t="str">
        <f t="shared" si="17"/>
        <v/>
      </c>
    </row>
    <row r="160" spans="9:24" x14ac:dyDescent="0.35">
      <c r="I160" s="21" t="str">
        <f t="shared" si="12"/>
        <v/>
      </c>
      <c r="Q160" s="21" t="str">
        <f t="shared" si="13"/>
        <v>N/A</v>
      </c>
      <c r="R160" s="21" t="str">
        <f t="shared" si="14"/>
        <v>N/A</v>
      </c>
      <c r="T160" s="21" t="str">
        <f t="shared" si="15"/>
        <v/>
      </c>
      <c r="V160" s="21" t="str">
        <f t="shared" si="16"/>
        <v/>
      </c>
      <c r="X160" s="21" t="str">
        <f t="shared" si="17"/>
        <v/>
      </c>
    </row>
    <row r="161" spans="9:24" x14ac:dyDescent="0.35">
      <c r="I161" s="21" t="str">
        <f t="shared" si="12"/>
        <v/>
      </c>
      <c r="Q161" s="21" t="str">
        <f t="shared" si="13"/>
        <v>N/A</v>
      </c>
      <c r="R161" s="21" t="str">
        <f t="shared" si="14"/>
        <v>N/A</v>
      </c>
      <c r="T161" s="21" t="str">
        <f t="shared" si="15"/>
        <v/>
      </c>
      <c r="V161" s="21" t="str">
        <f t="shared" si="16"/>
        <v/>
      </c>
      <c r="X161" s="21" t="str">
        <f t="shared" si="17"/>
        <v/>
      </c>
    </row>
    <row r="162" spans="9:24" x14ac:dyDescent="0.35">
      <c r="I162" s="21" t="str">
        <f t="shared" si="12"/>
        <v/>
      </c>
      <c r="Q162" s="21" t="str">
        <f t="shared" si="13"/>
        <v>N/A</v>
      </c>
      <c r="R162" s="21" t="str">
        <f t="shared" si="14"/>
        <v>N/A</v>
      </c>
      <c r="T162" s="21" t="str">
        <f t="shared" si="15"/>
        <v/>
      </c>
      <c r="V162" s="21" t="str">
        <f t="shared" si="16"/>
        <v/>
      </c>
      <c r="X162" s="21" t="str">
        <f t="shared" si="17"/>
        <v/>
      </c>
    </row>
    <row r="163" spans="9:24" x14ac:dyDescent="0.35">
      <c r="I163" s="21" t="str">
        <f t="shared" si="12"/>
        <v/>
      </c>
      <c r="Q163" s="21" t="str">
        <f t="shared" si="13"/>
        <v>N/A</v>
      </c>
      <c r="R163" s="21" t="str">
        <f t="shared" si="14"/>
        <v>N/A</v>
      </c>
      <c r="T163" s="21" t="str">
        <f t="shared" si="15"/>
        <v/>
      </c>
      <c r="V163" s="21" t="str">
        <f t="shared" si="16"/>
        <v/>
      </c>
      <c r="X163" s="21" t="str">
        <f t="shared" si="17"/>
        <v/>
      </c>
    </row>
    <row r="164" spans="9:24" x14ac:dyDescent="0.35">
      <c r="I164" s="21" t="str">
        <f t="shared" si="12"/>
        <v/>
      </c>
      <c r="Q164" s="21" t="str">
        <f t="shared" si="13"/>
        <v>N/A</v>
      </c>
      <c r="R164" s="21" t="str">
        <f t="shared" si="14"/>
        <v>N/A</v>
      </c>
      <c r="T164" s="21" t="str">
        <f t="shared" si="15"/>
        <v/>
      </c>
      <c r="V164" s="21" t="str">
        <f t="shared" si="16"/>
        <v/>
      </c>
      <c r="X164" s="21" t="str">
        <f t="shared" si="17"/>
        <v/>
      </c>
    </row>
    <row r="165" spans="9:24" x14ac:dyDescent="0.35">
      <c r="I165" s="21" t="str">
        <f t="shared" si="12"/>
        <v/>
      </c>
      <c r="Q165" s="21" t="str">
        <f t="shared" si="13"/>
        <v>N/A</v>
      </c>
      <c r="R165" s="21" t="str">
        <f t="shared" si="14"/>
        <v>N/A</v>
      </c>
      <c r="T165" s="21" t="str">
        <f t="shared" si="15"/>
        <v/>
      </c>
      <c r="V165" s="21" t="str">
        <f t="shared" si="16"/>
        <v/>
      </c>
      <c r="X165" s="21" t="str">
        <f t="shared" si="17"/>
        <v/>
      </c>
    </row>
    <row r="166" spans="9:24" x14ac:dyDescent="0.35">
      <c r="I166" s="21" t="str">
        <f t="shared" si="12"/>
        <v/>
      </c>
      <c r="Q166" s="21" t="str">
        <f t="shared" si="13"/>
        <v>N/A</v>
      </c>
      <c r="R166" s="21" t="str">
        <f t="shared" si="14"/>
        <v>N/A</v>
      </c>
      <c r="T166" s="21" t="str">
        <f t="shared" si="15"/>
        <v/>
      </c>
      <c r="V166" s="21" t="str">
        <f t="shared" si="16"/>
        <v/>
      </c>
      <c r="X166" s="21" t="str">
        <f t="shared" si="17"/>
        <v/>
      </c>
    </row>
    <row r="167" spans="9:24" x14ac:dyDescent="0.35">
      <c r="I167" s="21" t="str">
        <f t="shared" si="12"/>
        <v/>
      </c>
      <c r="Q167" s="21" t="str">
        <f t="shared" si="13"/>
        <v>N/A</v>
      </c>
      <c r="R167" s="21" t="str">
        <f t="shared" si="14"/>
        <v>N/A</v>
      </c>
      <c r="T167" s="21" t="str">
        <f t="shared" si="15"/>
        <v/>
      </c>
      <c r="V167" s="21" t="str">
        <f t="shared" si="16"/>
        <v/>
      </c>
      <c r="X167" s="21" t="str">
        <f t="shared" si="17"/>
        <v/>
      </c>
    </row>
    <row r="168" spans="9:24" x14ac:dyDescent="0.35">
      <c r="I168" s="21" t="str">
        <f t="shared" si="12"/>
        <v/>
      </c>
      <c r="Q168" s="21" t="str">
        <f t="shared" si="13"/>
        <v>N/A</v>
      </c>
      <c r="R168" s="21" t="str">
        <f t="shared" si="14"/>
        <v>N/A</v>
      </c>
      <c r="T168" s="21" t="str">
        <f t="shared" si="15"/>
        <v/>
      </c>
      <c r="V168" s="21" t="str">
        <f t="shared" si="16"/>
        <v/>
      </c>
      <c r="X168" s="21" t="str">
        <f t="shared" si="17"/>
        <v/>
      </c>
    </row>
    <row r="169" spans="9:24" x14ac:dyDescent="0.35">
      <c r="I169" s="21" t="str">
        <f t="shared" si="12"/>
        <v/>
      </c>
      <c r="Q169" s="21" t="str">
        <f t="shared" si="13"/>
        <v>N/A</v>
      </c>
      <c r="R169" s="21" t="str">
        <f t="shared" si="14"/>
        <v>N/A</v>
      </c>
      <c r="T169" s="21" t="str">
        <f t="shared" si="15"/>
        <v/>
      </c>
      <c r="V169" s="21" t="str">
        <f t="shared" si="16"/>
        <v/>
      </c>
      <c r="X169" s="21" t="str">
        <f t="shared" si="17"/>
        <v/>
      </c>
    </row>
    <row r="170" spans="9:24" x14ac:dyDescent="0.35">
      <c r="I170" s="21" t="str">
        <f t="shared" si="12"/>
        <v/>
      </c>
      <c r="Q170" s="21" t="str">
        <f t="shared" si="13"/>
        <v>N/A</v>
      </c>
      <c r="R170" s="21" t="str">
        <f t="shared" si="14"/>
        <v>N/A</v>
      </c>
      <c r="T170" s="21" t="str">
        <f t="shared" si="15"/>
        <v/>
      </c>
      <c r="V170" s="21" t="str">
        <f t="shared" si="16"/>
        <v/>
      </c>
      <c r="X170" s="21" t="str">
        <f t="shared" si="17"/>
        <v/>
      </c>
    </row>
    <row r="171" spans="9:24" x14ac:dyDescent="0.35">
      <c r="I171" s="21" t="str">
        <f t="shared" si="12"/>
        <v/>
      </c>
      <c r="Q171" s="21" t="str">
        <f t="shared" si="13"/>
        <v>N/A</v>
      </c>
      <c r="R171" s="21" t="str">
        <f t="shared" si="14"/>
        <v>N/A</v>
      </c>
      <c r="T171" s="21" t="str">
        <f t="shared" si="15"/>
        <v/>
      </c>
      <c r="V171" s="21" t="str">
        <f t="shared" si="16"/>
        <v/>
      </c>
      <c r="X171" s="21" t="str">
        <f t="shared" si="17"/>
        <v/>
      </c>
    </row>
    <row r="172" spans="9:24" x14ac:dyDescent="0.35">
      <c r="I172" s="21" t="str">
        <f t="shared" si="12"/>
        <v/>
      </c>
      <c r="Q172" s="21" t="str">
        <f t="shared" si="13"/>
        <v>N/A</v>
      </c>
      <c r="R172" s="21" t="str">
        <f t="shared" si="14"/>
        <v>N/A</v>
      </c>
      <c r="T172" s="21" t="str">
        <f t="shared" si="15"/>
        <v/>
      </c>
      <c r="V172" s="21" t="str">
        <f t="shared" si="16"/>
        <v/>
      </c>
      <c r="X172" s="21" t="str">
        <f t="shared" si="17"/>
        <v/>
      </c>
    </row>
    <row r="173" spans="9:24" x14ac:dyDescent="0.35">
      <c r="I173" s="21" t="str">
        <f t="shared" si="12"/>
        <v/>
      </c>
      <c r="Q173" s="21" t="str">
        <f t="shared" si="13"/>
        <v>N/A</v>
      </c>
      <c r="R173" s="21" t="str">
        <f t="shared" si="14"/>
        <v>N/A</v>
      </c>
      <c r="T173" s="21" t="str">
        <f t="shared" si="15"/>
        <v/>
      </c>
      <c r="V173" s="21" t="str">
        <f t="shared" si="16"/>
        <v/>
      </c>
      <c r="X173" s="21" t="str">
        <f t="shared" si="17"/>
        <v/>
      </c>
    </row>
    <row r="174" spans="9:24" x14ac:dyDescent="0.35">
      <c r="I174" s="21" t="str">
        <f t="shared" si="12"/>
        <v/>
      </c>
      <c r="Q174" s="21" t="str">
        <f t="shared" si="13"/>
        <v>N/A</v>
      </c>
      <c r="R174" s="21" t="str">
        <f t="shared" si="14"/>
        <v>N/A</v>
      </c>
      <c r="T174" s="21" t="str">
        <f t="shared" si="15"/>
        <v/>
      </c>
      <c r="V174" s="21" t="str">
        <f t="shared" si="16"/>
        <v/>
      </c>
      <c r="X174" s="21" t="str">
        <f t="shared" si="17"/>
        <v/>
      </c>
    </row>
    <row r="175" spans="9:24" x14ac:dyDescent="0.35">
      <c r="I175" s="21" t="str">
        <f t="shared" si="12"/>
        <v/>
      </c>
      <c r="Q175" s="21" t="str">
        <f t="shared" si="13"/>
        <v>N/A</v>
      </c>
      <c r="R175" s="21" t="str">
        <f t="shared" si="14"/>
        <v>N/A</v>
      </c>
      <c r="T175" s="21" t="str">
        <f t="shared" si="15"/>
        <v/>
      </c>
      <c r="V175" s="21" t="str">
        <f t="shared" si="16"/>
        <v/>
      </c>
      <c r="X175" s="21" t="str">
        <f t="shared" si="17"/>
        <v/>
      </c>
    </row>
    <row r="176" spans="9:24" x14ac:dyDescent="0.35">
      <c r="I176" s="21" t="str">
        <f t="shared" si="12"/>
        <v/>
      </c>
      <c r="Q176" s="21" t="str">
        <f t="shared" si="13"/>
        <v>N/A</v>
      </c>
      <c r="R176" s="21" t="str">
        <f t="shared" si="14"/>
        <v>N/A</v>
      </c>
      <c r="T176" s="21" t="str">
        <f t="shared" si="15"/>
        <v/>
      </c>
      <c r="V176" s="21" t="str">
        <f t="shared" si="16"/>
        <v/>
      </c>
      <c r="X176" s="21" t="str">
        <f t="shared" si="17"/>
        <v/>
      </c>
    </row>
    <row r="177" spans="9:24" x14ac:dyDescent="0.35">
      <c r="I177" s="21" t="str">
        <f t="shared" si="12"/>
        <v/>
      </c>
      <c r="Q177" s="21" t="str">
        <f t="shared" si="13"/>
        <v>N/A</v>
      </c>
      <c r="R177" s="21" t="str">
        <f t="shared" si="14"/>
        <v>N/A</v>
      </c>
      <c r="T177" s="21" t="str">
        <f t="shared" si="15"/>
        <v/>
      </c>
      <c r="V177" s="21" t="str">
        <f t="shared" si="16"/>
        <v/>
      </c>
      <c r="X177" s="21" t="str">
        <f t="shared" si="17"/>
        <v/>
      </c>
    </row>
    <row r="178" spans="9:24" x14ac:dyDescent="0.35">
      <c r="I178" s="21" t="str">
        <f t="shared" si="12"/>
        <v/>
      </c>
      <c r="Q178" s="21" t="str">
        <f t="shared" si="13"/>
        <v>N/A</v>
      </c>
      <c r="R178" s="21" t="str">
        <f t="shared" si="14"/>
        <v>N/A</v>
      </c>
      <c r="T178" s="21" t="str">
        <f t="shared" si="15"/>
        <v/>
      </c>
      <c r="V178" s="21" t="str">
        <f t="shared" si="16"/>
        <v/>
      </c>
      <c r="X178" s="21" t="str">
        <f t="shared" si="17"/>
        <v/>
      </c>
    </row>
    <row r="179" spans="9:24" x14ac:dyDescent="0.35">
      <c r="I179" s="21" t="str">
        <f t="shared" si="12"/>
        <v/>
      </c>
      <c r="Q179" s="21" t="str">
        <f t="shared" si="13"/>
        <v>N/A</v>
      </c>
      <c r="R179" s="21" t="str">
        <f t="shared" si="14"/>
        <v>N/A</v>
      </c>
      <c r="T179" s="21" t="str">
        <f t="shared" si="15"/>
        <v/>
      </c>
      <c r="V179" s="21" t="str">
        <f t="shared" si="16"/>
        <v/>
      </c>
      <c r="X179" s="21" t="str">
        <f t="shared" si="17"/>
        <v/>
      </c>
    </row>
    <row r="180" spans="9:24" x14ac:dyDescent="0.35">
      <c r="I180" s="21" t="str">
        <f t="shared" si="12"/>
        <v/>
      </c>
      <c r="Q180" s="21" t="str">
        <f t="shared" si="13"/>
        <v>N/A</v>
      </c>
      <c r="R180" s="21" t="str">
        <f t="shared" si="14"/>
        <v>N/A</v>
      </c>
      <c r="T180" s="21" t="str">
        <f t="shared" si="15"/>
        <v/>
      </c>
      <c r="V180" s="21" t="str">
        <f t="shared" si="16"/>
        <v/>
      </c>
      <c r="X180" s="21" t="str">
        <f t="shared" si="17"/>
        <v/>
      </c>
    </row>
    <row r="181" spans="9:24" x14ac:dyDescent="0.35">
      <c r="I181" s="21" t="str">
        <f t="shared" si="12"/>
        <v/>
      </c>
      <c r="Q181" s="21" t="str">
        <f t="shared" si="13"/>
        <v>N/A</v>
      </c>
      <c r="R181" s="21" t="str">
        <f t="shared" si="14"/>
        <v>N/A</v>
      </c>
      <c r="T181" s="21" t="str">
        <f t="shared" si="15"/>
        <v/>
      </c>
      <c r="V181" s="21" t="str">
        <f t="shared" si="16"/>
        <v/>
      </c>
      <c r="X181" s="21" t="str">
        <f t="shared" si="17"/>
        <v/>
      </c>
    </row>
    <row r="182" spans="9:24" x14ac:dyDescent="0.35">
      <c r="I182" s="21" t="str">
        <f t="shared" si="12"/>
        <v/>
      </c>
      <c r="Q182" s="21" t="str">
        <f t="shared" si="13"/>
        <v>N/A</v>
      </c>
      <c r="R182" s="21" t="str">
        <f t="shared" si="14"/>
        <v>N/A</v>
      </c>
      <c r="T182" s="21" t="str">
        <f t="shared" si="15"/>
        <v/>
      </c>
      <c r="V182" s="21" t="str">
        <f t="shared" si="16"/>
        <v/>
      </c>
      <c r="X182" s="21" t="str">
        <f t="shared" si="17"/>
        <v/>
      </c>
    </row>
    <row r="183" spans="9:24" x14ac:dyDescent="0.35">
      <c r="I183" s="21" t="str">
        <f t="shared" si="12"/>
        <v/>
      </c>
      <c r="Q183" s="21" t="str">
        <f t="shared" si="13"/>
        <v>N/A</v>
      </c>
      <c r="R183" s="21" t="str">
        <f t="shared" si="14"/>
        <v>N/A</v>
      </c>
      <c r="T183" s="21" t="str">
        <f t="shared" si="15"/>
        <v/>
      </c>
      <c r="V183" s="21" t="str">
        <f t="shared" si="16"/>
        <v/>
      </c>
      <c r="X183" s="21" t="str">
        <f t="shared" si="17"/>
        <v/>
      </c>
    </row>
    <row r="184" spans="9:24" x14ac:dyDescent="0.35">
      <c r="I184" s="21" t="str">
        <f t="shared" si="12"/>
        <v/>
      </c>
      <c r="Q184" s="21" t="str">
        <f t="shared" si="13"/>
        <v>N/A</v>
      </c>
      <c r="R184" s="21" t="str">
        <f t="shared" si="14"/>
        <v>N/A</v>
      </c>
      <c r="T184" s="21" t="str">
        <f t="shared" si="15"/>
        <v/>
      </c>
      <c r="V184" s="21" t="str">
        <f t="shared" si="16"/>
        <v/>
      </c>
      <c r="X184" s="21" t="str">
        <f t="shared" si="17"/>
        <v/>
      </c>
    </row>
    <row r="185" spans="9:24" x14ac:dyDescent="0.35">
      <c r="I185" s="21" t="str">
        <f t="shared" si="12"/>
        <v/>
      </c>
      <c r="Q185" s="21" t="str">
        <f t="shared" si="13"/>
        <v>N/A</v>
      </c>
      <c r="R185" s="21" t="str">
        <f t="shared" si="14"/>
        <v>N/A</v>
      </c>
      <c r="T185" s="21" t="str">
        <f t="shared" si="15"/>
        <v/>
      </c>
      <c r="V185" s="21" t="str">
        <f t="shared" si="16"/>
        <v/>
      </c>
      <c r="X185" s="21" t="str">
        <f t="shared" si="17"/>
        <v/>
      </c>
    </row>
    <row r="186" spans="9:24" x14ac:dyDescent="0.35">
      <c r="I186" s="21" t="str">
        <f t="shared" si="12"/>
        <v/>
      </c>
      <c r="Q186" s="21" t="str">
        <f t="shared" si="13"/>
        <v>N/A</v>
      </c>
      <c r="R186" s="21" t="str">
        <f t="shared" si="14"/>
        <v>N/A</v>
      </c>
      <c r="T186" s="21" t="str">
        <f t="shared" si="15"/>
        <v/>
      </c>
      <c r="V186" s="21" t="str">
        <f t="shared" si="16"/>
        <v/>
      </c>
      <c r="X186" s="21" t="str">
        <f t="shared" si="17"/>
        <v/>
      </c>
    </row>
    <row r="187" spans="9:24" x14ac:dyDescent="0.35">
      <c r="I187" s="21" t="str">
        <f t="shared" si="12"/>
        <v/>
      </c>
      <c r="Q187" s="21" t="str">
        <f t="shared" si="13"/>
        <v>N/A</v>
      </c>
      <c r="R187" s="21" t="str">
        <f t="shared" si="14"/>
        <v>N/A</v>
      </c>
      <c r="T187" s="21" t="str">
        <f t="shared" si="15"/>
        <v/>
      </c>
      <c r="V187" s="21" t="str">
        <f t="shared" si="16"/>
        <v/>
      </c>
      <c r="X187" s="21" t="str">
        <f t="shared" si="17"/>
        <v/>
      </c>
    </row>
    <row r="188" spans="9:24" x14ac:dyDescent="0.35">
      <c r="I188" s="21" t="str">
        <f t="shared" si="12"/>
        <v/>
      </c>
      <c r="Q188" s="21" t="str">
        <f t="shared" si="13"/>
        <v>N/A</v>
      </c>
      <c r="R188" s="21" t="str">
        <f t="shared" si="14"/>
        <v>N/A</v>
      </c>
      <c r="T188" s="21" t="str">
        <f t="shared" si="15"/>
        <v/>
      </c>
      <c r="V188" s="21" t="str">
        <f t="shared" si="16"/>
        <v/>
      </c>
      <c r="X188" s="21" t="str">
        <f t="shared" si="17"/>
        <v/>
      </c>
    </row>
    <row r="189" spans="9:24" x14ac:dyDescent="0.35">
      <c r="I189" s="21" t="str">
        <f t="shared" si="12"/>
        <v/>
      </c>
      <c r="Q189" s="21" t="str">
        <f t="shared" si="13"/>
        <v>N/A</v>
      </c>
      <c r="R189" s="21" t="str">
        <f t="shared" si="14"/>
        <v>N/A</v>
      </c>
      <c r="T189" s="21" t="str">
        <f t="shared" si="15"/>
        <v/>
      </c>
      <c r="V189" s="21" t="str">
        <f t="shared" si="16"/>
        <v/>
      </c>
      <c r="X189" s="21" t="str">
        <f t="shared" si="17"/>
        <v/>
      </c>
    </row>
    <row r="190" spans="9:24" x14ac:dyDescent="0.35">
      <c r="I190" s="21" t="str">
        <f t="shared" si="12"/>
        <v/>
      </c>
      <c r="Q190" s="21" t="str">
        <f t="shared" si="13"/>
        <v>N/A</v>
      </c>
      <c r="R190" s="21" t="str">
        <f t="shared" si="14"/>
        <v>N/A</v>
      </c>
      <c r="T190" s="21" t="str">
        <f t="shared" si="15"/>
        <v/>
      </c>
      <c r="V190" s="21" t="str">
        <f t="shared" si="16"/>
        <v/>
      </c>
      <c r="X190" s="21" t="str">
        <f t="shared" si="17"/>
        <v/>
      </c>
    </row>
    <row r="191" spans="9:24" x14ac:dyDescent="0.35">
      <c r="I191" s="21" t="str">
        <f t="shared" si="12"/>
        <v/>
      </c>
      <c r="Q191" s="21" t="str">
        <f t="shared" si="13"/>
        <v>N/A</v>
      </c>
      <c r="R191" s="21" t="str">
        <f t="shared" si="14"/>
        <v>N/A</v>
      </c>
      <c r="T191" s="21" t="str">
        <f t="shared" si="15"/>
        <v/>
      </c>
      <c r="V191" s="21" t="str">
        <f t="shared" si="16"/>
        <v/>
      </c>
      <c r="X191" s="21" t="str">
        <f t="shared" si="17"/>
        <v/>
      </c>
    </row>
    <row r="192" spans="9:24" x14ac:dyDescent="0.35">
      <c r="I192" s="21" t="str">
        <f t="shared" si="12"/>
        <v/>
      </c>
      <c r="Q192" s="21" t="str">
        <f t="shared" si="13"/>
        <v>N/A</v>
      </c>
      <c r="R192" s="21" t="str">
        <f t="shared" si="14"/>
        <v>N/A</v>
      </c>
      <c r="T192" s="21" t="str">
        <f t="shared" si="15"/>
        <v/>
      </c>
      <c r="V192" s="21" t="str">
        <f t="shared" si="16"/>
        <v/>
      </c>
      <c r="X192" s="21" t="str">
        <f t="shared" si="17"/>
        <v/>
      </c>
    </row>
    <row r="193" spans="9:24" x14ac:dyDescent="0.35">
      <c r="I193" s="21" t="str">
        <f t="shared" si="12"/>
        <v/>
      </c>
      <c r="Q193" s="21" t="str">
        <f t="shared" si="13"/>
        <v>N/A</v>
      </c>
      <c r="R193" s="21" t="str">
        <f t="shared" si="14"/>
        <v>N/A</v>
      </c>
      <c r="T193" s="21" t="str">
        <f t="shared" si="15"/>
        <v/>
      </c>
      <c r="V193" s="21" t="str">
        <f t="shared" si="16"/>
        <v/>
      </c>
      <c r="X193" s="21" t="str">
        <f t="shared" si="17"/>
        <v/>
      </c>
    </row>
    <row r="194" spans="9:24" x14ac:dyDescent="0.35">
      <c r="I194" s="21" t="str">
        <f t="shared" si="12"/>
        <v/>
      </c>
      <c r="Q194" s="21" t="str">
        <f t="shared" si="13"/>
        <v>N/A</v>
      </c>
      <c r="R194" s="21" t="str">
        <f t="shared" si="14"/>
        <v>N/A</v>
      </c>
      <c r="T194" s="21" t="str">
        <f t="shared" si="15"/>
        <v/>
      </c>
      <c r="V194" s="21" t="str">
        <f t="shared" si="16"/>
        <v/>
      </c>
      <c r="X194" s="21" t="str">
        <f t="shared" si="17"/>
        <v/>
      </c>
    </row>
    <row r="195" spans="9:24" x14ac:dyDescent="0.35">
      <c r="I195" s="21" t="str">
        <f t="shared" si="12"/>
        <v/>
      </c>
      <c r="Q195" s="21" t="str">
        <f t="shared" si="13"/>
        <v>N/A</v>
      </c>
      <c r="R195" s="21" t="str">
        <f t="shared" si="14"/>
        <v>N/A</v>
      </c>
      <c r="T195" s="21" t="str">
        <f t="shared" si="15"/>
        <v/>
      </c>
      <c r="V195" s="21" t="str">
        <f t="shared" si="16"/>
        <v/>
      </c>
      <c r="X195" s="21" t="str">
        <f t="shared" si="17"/>
        <v/>
      </c>
    </row>
    <row r="196" spans="9:24" x14ac:dyDescent="0.35">
      <c r="I196" s="21" t="str">
        <f t="shared" si="12"/>
        <v/>
      </c>
      <c r="Q196" s="21" t="str">
        <f t="shared" si="13"/>
        <v>N/A</v>
      </c>
      <c r="R196" s="21" t="str">
        <f t="shared" si="14"/>
        <v>N/A</v>
      </c>
      <c r="T196" s="21" t="str">
        <f t="shared" si="15"/>
        <v/>
      </c>
      <c r="V196" s="21" t="str">
        <f t="shared" si="16"/>
        <v/>
      </c>
      <c r="X196" s="21" t="str">
        <f t="shared" si="17"/>
        <v/>
      </c>
    </row>
    <row r="197" spans="9:24" x14ac:dyDescent="0.35">
      <c r="I197" s="21" t="str">
        <f t="shared" si="12"/>
        <v/>
      </c>
      <c r="Q197" s="21" t="str">
        <f t="shared" si="13"/>
        <v>N/A</v>
      </c>
      <c r="R197" s="21" t="str">
        <f t="shared" si="14"/>
        <v>N/A</v>
      </c>
      <c r="T197" s="21" t="str">
        <f t="shared" si="15"/>
        <v/>
      </c>
      <c r="V197" s="21" t="str">
        <f t="shared" si="16"/>
        <v/>
      </c>
      <c r="X197" s="21" t="str">
        <f t="shared" si="17"/>
        <v/>
      </c>
    </row>
    <row r="198" spans="9:24" x14ac:dyDescent="0.35">
      <c r="I198" s="21" t="str">
        <f t="shared" ref="I198:I261" si="18">IF(OR(G198&lt;&gt;"",H198&lt;&gt;""),G198-H198,"")</f>
        <v/>
      </c>
      <c r="Q198" s="21" t="str">
        <f t="shared" ref="Q198:Q261" si="19">IFERROR(IF(K198="","N/A",IF(ISNUMBER(MATCH(K198,OLD_PROJECTS,0)),"Yes","No")),"N/A")</f>
        <v>N/A</v>
      </c>
      <c r="R198" s="21" t="str">
        <f t="shared" ref="R198:R261" si="20">IFERROR(IF(K198="","N/A",IF(Q198="Yes","No","Yes")),"N/A")</f>
        <v>N/A</v>
      </c>
      <c r="T198" s="21" t="str">
        <f t="shared" ref="T198:T261" si="21">IFERROR(IF(S198="","",IF(S198="SHARED","Yes",IF(AND(INDEX(COA_OVERHEAD,MATCH(D198,COA_LEDGER,0))="Y",S198="OLD"),"Yes",IF(AND(INDEX(COA_CLASS,MATCH(D198,COA_LEDGER,0))="Income",S198="NEW",Q198="Yes"),"Yes","No")))),"Check Ledger")</f>
        <v/>
      </c>
      <c r="V198" s="21" t="str">
        <f t="shared" ref="V198:V261" si="22">IFERROR(IF(D198="","",IF(INDEX(COA_COMPANY,MATCH(D198,COA_LEDGER,0))="New Company","NEW",IF(INDEX(COA_COMPANY,MATCH(D198,COA_LEDGER,0))="Old Company","OLD",IF(Q198="Yes","OLD","NEW")))),"Check Ledger")</f>
        <v/>
      </c>
      <c r="X198" s="21" t="str">
        <f t="shared" ref="X198:X261" si="23">IFERROR(IF(B198="","",IF(ROUND(SUMIF(TXN_VNO,B198,TXN_DEBIT)-SUMIF(TXN_VNO,B198,TXN_CREDIT),2)=0,"Yes","No")),"")</f>
        <v/>
      </c>
    </row>
    <row r="199" spans="9:24" x14ac:dyDescent="0.35">
      <c r="I199" s="21" t="str">
        <f t="shared" si="18"/>
        <v/>
      </c>
      <c r="Q199" s="21" t="str">
        <f t="shared" si="19"/>
        <v>N/A</v>
      </c>
      <c r="R199" s="21" t="str">
        <f t="shared" si="20"/>
        <v>N/A</v>
      </c>
      <c r="T199" s="21" t="str">
        <f t="shared" si="21"/>
        <v/>
      </c>
      <c r="V199" s="21" t="str">
        <f t="shared" si="22"/>
        <v/>
      </c>
      <c r="X199" s="21" t="str">
        <f t="shared" si="23"/>
        <v/>
      </c>
    </row>
    <row r="200" spans="9:24" x14ac:dyDescent="0.35">
      <c r="I200" s="21" t="str">
        <f t="shared" si="18"/>
        <v/>
      </c>
      <c r="Q200" s="21" t="str">
        <f t="shared" si="19"/>
        <v>N/A</v>
      </c>
      <c r="R200" s="21" t="str">
        <f t="shared" si="20"/>
        <v>N/A</v>
      </c>
      <c r="T200" s="21" t="str">
        <f t="shared" si="21"/>
        <v/>
      </c>
      <c r="V200" s="21" t="str">
        <f t="shared" si="22"/>
        <v/>
      </c>
      <c r="X200" s="21" t="str">
        <f t="shared" si="23"/>
        <v/>
      </c>
    </row>
    <row r="201" spans="9:24" x14ac:dyDescent="0.35">
      <c r="I201" s="21" t="str">
        <f t="shared" si="18"/>
        <v/>
      </c>
      <c r="Q201" s="21" t="str">
        <f t="shared" si="19"/>
        <v>N/A</v>
      </c>
      <c r="R201" s="21" t="str">
        <f t="shared" si="20"/>
        <v>N/A</v>
      </c>
      <c r="T201" s="21" t="str">
        <f t="shared" si="21"/>
        <v/>
      </c>
      <c r="V201" s="21" t="str">
        <f t="shared" si="22"/>
        <v/>
      </c>
      <c r="X201" s="21" t="str">
        <f t="shared" si="23"/>
        <v/>
      </c>
    </row>
    <row r="202" spans="9:24" x14ac:dyDescent="0.35">
      <c r="I202" s="21" t="str">
        <f t="shared" si="18"/>
        <v/>
      </c>
      <c r="Q202" s="21" t="str">
        <f t="shared" si="19"/>
        <v>N/A</v>
      </c>
      <c r="R202" s="21" t="str">
        <f t="shared" si="20"/>
        <v>N/A</v>
      </c>
      <c r="T202" s="21" t="str">
        <f t="shared" si="21"/>
        <v/>
      </c>
      <c r="V202" s="21" t="str">
        <f t="shared" si="22"/>
        <v/>
      </c>
      <c r="X202" s="21" t="str">
        <f t="shared" si="23"/>
        <v/>
      </c>
    </row>
    <row r="203" spans="9:24" x14ac:dyDescent="0.35">
      <c r="I203" s="21" t="str">
        <f t="shared" si="18"/>
        <v/>
      </c>
      <c r="Q203" s="21" t="str">
        <f t="shared" si="19"/>
        <v>N/A</v>
      </c>
      <c r="R203" s="21" t="str">
        <f t="shared" si="20"/>
        <v>N/A</v>
      </c>
      <c r="T203" s="21" t="str">
        <f t="shared" si="21"/>
        <v/>
      </c>
      <c r="V203" s="21" t="str">
        <f t="shared" si="22"/>
        <v/>
      </c>
      <c r="X203" s="21" t="str">
        <f t="shared" si="23"/>
        <v/>
      </c>
    </row>
    <row r="204" spans="9:24" x14ac:dyDescent="0.35">
      <c r="I204" s="21" t="str">
        <f t="shared" si="18"/>
        <v/>
      </c>
      <c r="Q204" s="21" t="str">
        <f t="shared" si="19"/>
        <v>N/A</v>
      </c>
      <c r="R204" s="21" t="str">
        <f t="shared" si="20"/>
        <v>N/A</v>
      </c>
      <c r="T204" s="21" t="str">
        <f t="shared" si="21"/>
        <v/>
      </c>
      <c r="V204" s="21" t="str">
        <f t="shared" si="22"/>
        <v/>
      </c>
      <c r="X204" s="21" t="str">
        <f t="shared" si="23"/>
        <v/>
      </c>
    </row>
    <row r="205" spans="9:24" x14ac:dyDescent="0.35">
      <c r="I205" s="21" t="str">
        <f t="shared" si="18"/>
        <v/>
      </c>
      <c r="Q205" s="21" t="str">
        <f t="shared" si="19"/>
        <v>N/A</v>
      </c>
      <c r="R205" s="21" t="str">
        <f t="shared" si="20"/>
        <v>N/A</v>
      </c>
      <c r="T205" s="21" t="str">
        <f t="shared" si="21"/>
        <v/>
      </c>
      <c r="V205" s="21" t="str">
        <f t="shared" si="22"/>
        <v/>
      </c>
      <c r="X205" s="21" t="str">
        <f t="shared" si="23"/>
        <v/>
      </c>
    </row>
    <row r="206" spans="9:24" x14ac:dyDescent="0.35">
      <c r="I206" s="21" t="str">
        <f t="shared" si="18"/>
        <v/>
      </c>
      <c r="Q206" s="21" t="str">
        <f t="shared" si="19"/>
        <v>N/A</v>
      </c>
      <c r="R206" s="21" t="str">
        <f t="shared" si="20"/>
        <v>N/A</v>
      </c>
      <c r="T206" s="21" t="str">
        <f t="shared" si="21"/>
        <v/>
      </c>
      <c r="V206" s="21" t="str">
        <f t="shared" si="22"/>
        <v/>
      </c>
      <c r="X206" s="21" t="str">
        <f t="shared" si="23"/>
        <v/>
      </c>
    </row>
    <row r="207" spans="9:24" x14ac:dyDescent="0.35">
      <c r="I207" s="21" t="str">
        <f t="shared" si="18"/>
        <v/>
      </c>
      <c r="Q207" s="21" t="str">
        <f t="shared" si="19"/>
        <v>N/A</v>
      </c>
      <c r="R207" s="21" t="str">
        <f t="shared" si="20"/>
        <v>N/A</v>
      </c>
      <c r="T207" s="21" t="str">
        <f t="shared" si="21"/>
        <v/>
      </c>
      <c r="V207" s="21" t="str">
        <f t="shared" si="22"/>
        <v/>
      </c>
      <c r="X207" s="21" t="str">
        <f t="shared" si="23"/>
        <v/>
      </c>
    </row>
    <row r="208" spans="9:24" x14ac:dyDescent="0.35">
      <c r="I208" s="21" t="str">
        <f t="shared" si="18"/>
        <v/>
      </c>
      <c r="Q208" s="21" t="str">
        <f t="shared" si="19"/>
        <v>N/A</v>
      </c>
      <c r="R208" s="21" t="str">
        <f t="shared" si="20"/>
        <v>N/A</v>
      </c>
      <c r="T208" s="21" t="str">
        <f t="shared" si="21"/>
        <v/>
      </c>
      <c r="V208" s="21" t="str">
        <f t="shared" si="22"/>
        <v/>
      </c>
      <c r="X208" s="21" t="str">
        <f t="shared" si="23"/>
        <v/>
      </c>
    </row>
    <row r="209" spans="9:24" x14ac:dyDescent="0.35">
      <c r="I209" s="21" t="str">
        <f t="shared" si="18"/>
        <v/>
      </c>
      <c r="Q209" s="21" t="str">
        <f t="shared" si="19"/>
        <v>N/A</v>
      </c>
      <c r="R209" s="21" t="str">
        <f t="shared" si="20"/>
        <v>N/A</v>
      </c>
      <c r="T209" s="21" t="str">
        <f t="shared" si="21"/>
        <v/>
      </c>
      <c r="V209" s="21" t="str">
        <f t="shared" si="22"/>
        <v/>
      </c>
      <c r="X209" s="21" t="str">
        <f t="shared" si="23"/>
        <v/>
      </c>
    </row>
    <row r="210" spans="9:24" x14ac:dyDescent="0.35">
      <c r="I210" s="21" t="str">
        <f t="shared" si="18"/>
        <v/>
      </c>
      <c r="Q210" s="21" t="str">
        <f t="shared" si="19"/>
        <v>N/A</v>
      </c>
      <c r="R210" s="21" t="str">
        <f t="shared" si="20"/>
        <v>N/A</v>
      </c>
      <c r="T210" s="21" t="str">
        <f t="shared" si="21"/>
        <v/>
      </c>
      <c r="V210" s="21" t="str">
        <f t="shared" si="22"/>
        <v/>
      </c>
      <c r="X210" s="21" t="str">
        <f t="shared" si="23"/>
        <v/>
      </c>
    </row>
    <row r="211" spans="9:24" x14ac:dyDescent="0.35">
      <c r="I211" s="21" t="str">
        <f t="shared" si="18"/>
        <v/>
      </c>
      <c r="Q211" s="21" t="str">
        <f t="shared" si="19"/>
        <v>N/A</v>
      </c>
      <c r="R211" s="21" t="str">
        <f t="shared" si="20"/>
        <v>N/A</v>
      </c>
      <c r="T211" s="21" t="str">
        <f t="shared" si="21"/>
        <v/>
      </c>
      <c r="V211" s="21" t="str">
        <f t="shared" si="22"/>
        <v/>
      </c>
      <c r="X211" s="21" t="str">
        <f t="shared" si="23"/>
        <v/>
      </c>
    </row>
    <row r="212" spans="9:24" x14ac:dyDescent="0.35">
      <c r="I212" s="21" t="str">
        <f t="shared" si="18"/>
        <v/>
      </c>
      <c r="Q212" s="21" t="str">
        <f t="shared" si="19"/>
        <v>N/A</v>
      </c>
      <c r="R212" s="21" t="str">
        <f t="shared" si="20"/>
        <v>N/A</v>
      </c>
      <c r="T212" s="21" t="str">
        <f t="shared" si="21"/>
        <v/>
      </c>
      <c r="V212" s="21" t="str">
        <f t="shared" si="22"/>
        <v/>
      </c>
      <c r="X212" s="21" t="str">
        <f t="shared" si="23"/>
        <v/>
      </c>
    </row>
    <row r="213" spans="9:24" x14ac:dyDescent="0.35">
      <c r="I213" s="21" t="str">
        <f t="shared" si="18"/>
        <v/>
      </c>
      <c r="Q213" s="21" t="str">
        <f t="shared" si="19"/>
        <v>N/A</v>
      </c>
      <c r="R213" s="21" t="str">
        <f t="shared" si="20"/>
        <v>N/A</v>
      </c>
      <c r="T213" s="21" t="str">
        <f t="shared" si="21"/>
        <v/>
      </c>
      <c r="V213" s="21" t="str">
        <f t="shared" si="22"/>
        <v/>
      </c>
      <c r="X213" s="21" t="str">
        <f t="shared" si="23"/>
        <v/>
      </c>
    </row>
    <row r="214" spans="9:24" x14ac:dyDescent="0.35">
      <c r="I214" s="21" t="str">
        <f t="shared" si="18"/>
        <v/>
      </c>
      <c r="Q214" s="21" t="str">
        <f t="shared" si="19"/>
        <v>N/A</v>
      </c>
      <c r="R214" s="21" t="str">
        <f t="shared" si="20"/>
        <v>N/A</v>
      </c>
      <c r="T214" s="21" t="str">
        <f t="shared" si="21"/>
        <v/>
      </c>
      <c r="V214" s="21" t="str">
        <f t="shared" si="22"/>
        <v/>
      </c>
      <c r="X214" s="21" t="str">
        <f t="shared" si="23"/>
        <v/>
      </c>
    </row>
    <row r="215" spans="9:24" x14ac:dyDescent="0.35">
      <c r="I215" s="21" t="str">
        <f t="shared" si="18"/>
        <v/>
      </c>
      <c r="Q215" s="21" t="str">
        <f t="shared" si="19"/>
        <v>N/A</v>
      </c>
      <c r="R215" s="21" t="str">
        <f t="shared" si="20"/>
        <v>N/A</v>
      </c>
      <c r="T215" s="21" t="str">
        <f t="shared" si="21"/>
        <v/>
      </c>
      <c r="V215" s="21" t="str">
        <f t="shared" si="22"/>
        <v/>
      </c>
      <c r="X215" s="21" t="str">
        <f t="shared" si="23"/>
        <v/>
      </c>
    </row>
    <row r="216" spans="9:24" x14ac:dyDescent="0.35">
      <c r="I216" s="21" t="str">
        <f t="shared" si="18"/>
        <v/>
      </c>
      <c r="Q216" s="21" t="str">
        <f t="shared" si="19"/>
        <v>N/A</v>
      </c>
      <c r="R216" s="21" t="str">
        <f t="shared" si="20"/>
        <v>N/A</v>
      </c>
      <c r="T216" s="21" t="str">
        <f t="shared" si="21"/>
        <v/>
      </c>
      <c r="V216" s="21" t="str">
        <f t="shared" si="22"/>
        <v/>
      </c>
      <c r="X216" s="21" t="str">
        <f t="shared" si="23"/>
        <v/>
      </c>
    </row>
    <row r="217" spans="9:24" x14ac:dyDescent="0.35">
      <c r="I217" s="21" t="str">
        <f t="shared" si="18"/>
        <v/>
      </c>
      <c r="Q217" s="21" t="str">
        <f t="shared" si="19"/>
        <v>N/A</v>
      </c>
      <c r="R217" s="21" t="str">
        <f t="shared" si="20"/>
        <v>N/A</v>
      </c>
      <c r="T217" s="21" t="str">
        <f t="shared" si="21"/>
        <v/>
      </c>
      <c r="V217" s="21" t="str">
        <f t="shared" si="22"/>
        <v/>
      </c>
      <c r="X217" s="21" t="str">
        <f t="shared" si="23"/>
        <v/>
      </c>
    </row>
    <row r="218" spans="9:24" x14ac:dyDescent="0.35">
      <c r="I218" s="21" t="str">
        <f t="shared" si="18"/>
        <v/>
      </c>
      <c r="Q218" s="21" t="str">
        <f t="shared" si="19"/>
        <v>N/A</v>
      </c>
      <c r="R218" s="21" t="str">
        <f t="shared" si="20"/>
        <v>N/A</v>
      </c>
      <c r="T218" s="21" t="str">
        <f t="shared" si="21"/>
        <v/>
      </c>
      <c r="V218" s="21" t="str">
        <f t="shared" si="22"/>
        <v/>
      </c>
      <c r="X218" s="21" t="str">
        <f t="shared" si="23"/>
        <v/>
      </c>
    </row>
    <row r="219" spans="9:24" x14ac:dyDescent="0.35">
      <c r="I219" s="21" t="str">
        <f t="shared" si="18"/>
        <v/>
      </c>
      <c r="Q219" s="21" t="str">
        <f t="shared" si="19"/>
        <v>N/A</v>
      </c>
      <c r="R219" s="21" t="str">
        <f t="shared" si="20"/>
        <v>N/A</v>
      </c>
      <c r="T219" s="21" t="str">
        <f t="shared" si="21"/>
        <v/>
      </c>
      <c r="V219" s="21" t="str">
        <f t="shared" si="22"/>
        <v/>
      </c>
      <c r="X219" s="21" t="str">
        <f t="shared" si="23"/>
        <v/>
      </c>
    </row>
    <row r="220" spans="9:24" x14ac:dyDescent="0.35">
      <c r="I220" s="21" t="str">
        <f t="shared" si="18"/>
        <v/>
      </c>
      <c r="Q220" s="21" t="str">
        <f t="shared" si="19"/>
        <v>N/A</v>
      </c>
      <c r="R220" s="21" t="str">
        <f t="shared" si="20"/>
        <v>N/A</v>
      </c>
      <c r="T220" s="21" t="str">
        <f t="shared" si="21"/>
        <v/>
      </c>
      <c r="V220" s="21" t="str">
        <f t="shared" si="22"/>
        <v/>
      </c>
      <c r="X220" s="21" t="str">
        <f t="shared" si="23"/>
        <v/>
      </c>
    </row>
    <row r="221" spans="9:24" x14ac:dyDescent="0.35">
      <c r="I221" s="21" t="str">
        <f t="shared" si="18"/>
        <v/>
      </c>
      <c r="Q221" s="21" t="str">
        <f t="shared" si="19"/>
        <v>N/A</v>
      </c>
      <c r="R221" s="21" t="str">
        <f t="shared" si="20"/>
        <v>N/A</v>
      </c>
      <c r="T221" s="21" t="str">
        <f t="shared" si="21"/>
        <v/>
      </c>
      <c r="V221" s="21" t="str">
        <f t="shared" si="22"/>
        <v/>
      </c>
      <c r="X221" s="21" t="str">
        <f t="shared" si="23"/>
        <v/>
      </c>
    </row>
    <row r="222" spans="9:24" x14ac:dyDescent="0.35">
      <c r="I222" s="21" t="str">
        <f t="shared" si="18"/>
        <v/>
      </c>
      <c r="Q222" s="21" t="str">
        <f t="shared" si="19"/>
        <v>N/A</v>
      </c>
      <c r="R222" s="21" t="str">
        <f t="shared" si="20"/>
        <v>N/A</v>
      </c>
      <c r="T222" s="21" t="str">
        <f t="shared" si="21"/>
        <v/>
      </c>
      <c r="V222" s="21" t="str">
        <f t="shared" si="22"/>
        <v/>
      </c>
      <c r="X222" s="21" t="str">
        <f t="shared" si="23"/>
        <v/>
      </c>
    </row>
    <row r="223" spans="9:24" x14ac:dyDescent="0.35">
      <c r="I223" s="21" t="str">
        <f t="shared" si="18"/>
        <v/>
      </c>
      <c r="Q223" s="21" t="str">
        <f t="shared" si="19"/>
        <v>N/A</v>
      </c>
      <c r="R223" s="21" t="str">
        <f t="shared" si="20"/>
        <v>N/A</v>
      </c>
      <c r="T223" s="21" t="str">
        <f t="shared" si="21"/>
        <v/>
      </c>
      <c r="V223" s="21" t="str">
        <f t="shared" si="22"/>
        <v/>
      </c>
      <c r="X223" s="21" t="str">
        <f t="shared" si="23"/>
        <v/>
      </c>
    </row>
    <row r="224" spans="9:24" x14ac:dyDescent="0.35">
      <c r="I224" s="21" t="str">
        <f t="shared" si="18"/>
        <v/>
      </c>
      <c r="Q224" s="21" t="str">
        <f t="shared" si="19"/>
        <v>N/A</v>
      </c>
      <c r="R224" s="21" t="str">
        <f t="shared" si="20"/>
        <v>N/A</v>
      </c>
      <c r="T224" s="21" t="str">
        <f t="shared" si="21"/>
        <v/>
      </c>
      <c r="V224" s="21" t="str">
        <f t="shared" si="22"/>
        <v/>
      </c>
      <c r="X224" s="21" t="str">
        <f t="shared" si="23"/>
        <v/>
      </c>
    </row>
    <row r="225" spans="9:24" x14ac:dyDescent="0.35">
      <c r="I225" s="21" t="str">
        <f t="shared" si="18"/>
        <v/>
      </c>
      <c r="Q225" s="21" t="str">
        <f t="shared" si="19"/>
        <v>N/A</v>
      </c>
      <c r="R225" s="21" t="str">
        <f t="shared" si="20"/>
        <v>N/A</v>
      </c>
      <c r="T225" s="21" t="str">
        <f t="shared" si="21"/>
        <v/>
      </c>
      <c r="V225" s="21" t="str">
        <f t="shared" si="22"/>
        <v/>
      </c>
      <c r="X225" s="21" t="str">
        <f t="shared" si="23"/>
        <v/>
      </c>
    </row>
    <row r="226" spans="9:24" x14ac:dyDescent="0.35">
      <c r="I226" s="21" t="str">
        <f t="shared" si="18"/>
        <v/>
      </c>
      <c r="Q226" s="21" t="str">
        <f t="shared" si="19"/>
        <v>N/A</v>
      </c>
      <c r="R226" s="21" t="str">
        <f t="shared" si="20"/>
        <v>N/A</v>
      </c>
      <c r="T226" s="21" t="str">
        <f t="shared" si="21"/>
        <v/>
      </c>
      <c r="V226" s="21" t="str">
        <f t="shared" si="22"/>
        <v/>
      </c>
      <c r="X226" s="21" t="str">
        <f t="shared" si="23"/>
        <v/>
      </c>
    </row>
    <row r="227" spans="9:24" x14ac:dyDescent="0.35">
      <c r="I227" s="21" t="str">
        <f t="shared" si="18"/>
        <v/>
      </c>
      <c r="Q227" s="21" t="str">
        <f t="shared" si="19"/>
        <v>N/A</v>
      </c>
      <c r="R227" s="21" t="str">
        <f t="shared" si="20"/>
        <v>N/A</v>
      </c>
      <c r="T227" s="21" t="str">
        <f t="shared" si="21"/>
        <v/>
      </c>
      <c r="V227" s="21" t="str">
        <f t="shared" si="22"/>
        <v/>
      </c>
      <c r="X227" s="21" t="str">
        <f t="shared" si="23"/>
        <v/>
      </c>
    </row>
    <row r="228" spans="9:24" x14ac:dyDescent="0.35">
      <c r="I228" s="21" t="str">
        <f t="shared" si="18"/>
        <v/>
      </c>
      <c r="Q228" s="21" t="str">
        <f t="shared" si="19"/>
        <v>N/A</v>
      </c>
      <c r="R228" s="21" t="str">
        <f t="shared" si="20"/>
        <v>N/A</v>
      </c>
      <c r="T228" s="21" t="str">
        <f t="shared" si="21"/>
        <v/>
      </c>
      <c r="V228" s="21" t="str">
        <f t="shared" si="22"/>
        <v/>
      </c>
      <c r="X228" s="21" t="str">
        <f t="shared" si="23"/>
        <v/>
      </c>
    </row>
    <row r="229" spans="9:24" x14ac:dyDescent="0.35">
      <c r="I229" s="21" t="str">
        <f t="shared" si="18"/>
        <v/>
      </c>
      <c r="Q229" s="21" t="str">
        <f t="shared" si="19"/>
        <v>N/A</v>
      </c>
      <c r="R229" s="21" t="str">
        <f t="shared" si="20"/>
        <v>N/A</v>
      </c>
      <c r="T229" s="21" t="str">
        <f t="shared" si="21"/>
        <v/>
      </c>
      <c r="V229" s="21" t="str">
        <f t="shared" si="22"/>
        <v/>
      </c>
      <c r="X229" s="21" t="str">
        <f t="shared" si="23"/>
        <v/>
      </c>
    </row>
    <row r="230" spans="9:24" x14ac:dyDescent="0.35">
      <c r="I230" s="21" t="str">
        <f t="shared" si="18"/>
        <v/>
      </c>
      <c r="Q230" s="21" t="str">
        <f t="shared" si="19"/>
        <v>N/A</v>
      </c>
      <c r="R230" s="21" t="str">
        <f t="shared" si="20"/>
        <v>N/A</v>
      </c>
      <c r="T230" s="21" t="str">
        <f t="shared" si="21"/>
        <v/>
      </c>
      <c r="V230" s="21" t="str">
        <f t="shared" si="22"/>
        <v/>
      </c>
      <c r="X230" s="21" t="str">
        <f t="shared" si="23"/>
        <v/>
      </c>
    </row>
    <row r="231" spans="9:24" x14ac:dyDescent="0.35">
      <c r="I231" s="21" t="str">
        <f t="shared" si="18"/>
        <v/>
      </c>
      <c r="Q231" s="21" t="str">
        <f t="shared" si="19"/>
        <v>N/A</v>
      </c>
      <c r="R231" s="21" t="str">
        <f t="shared" si="20"/>
        <v>N/A</v>
      </c>
      <c r="T231" s="21" t="str">
        <f t="shared" si="21"/>
        <v/>
      </c>
      <c r="V231" s="21" t="str">
        <f t="shared" si="22"/>
        <v/>
      </c>
      <c r="X231" s="21" t="str">
        <f t="shared" si="23"/>
        <v/>
      </c>
    </row>
    <row r="232" spans="9:24" x14ac:dyDescent="0.35">
      <c r="I232" s="21" t="str">
        <f t="shared" si="18"/>
        <v/>
      </c>
      <c r="Q232" s="21" t="str">
        <f t="shared" si="19"/>
        <v>N/A</v>
      </c>
      <c r="R232" s="21" t="str">
        <f t="shared" si="20"/>
        <v>N/A</v>
      </c>
      <c r="T232" s="21" t="str">
        <f t="shared" si="21"/>
        <v/>
      </c>
      <c r="V232" s="21" t="str">
        <f t="shared" si="22"/>
        <v/>
      </c>
      <c r="X232" s="21" t="str">
        <f t="shared" si="23"/>
        <v/>
      </c>
    </row>
    <row r="233" spans="9:24" x14ac:dyDescent="0.35">
      <c r="I233" s="21" t="str">
        <f t="shared" si="18"/>
        <v/>
      </c>
      <c r="Q233" s="21" t="str">
        <f t="shared" si="19"/>
        <v>N/A</v>
      </c>
      <c r="R233" s="21" t="str">
        <f t="shared" si="20"/>
        <v>N/A</v>
      </c>
      <c r="T233" s="21" t="str">
        <f t="shared" si="21"/>
        <v/>
      </c>
      <c r="V233" s="21" t="str">
        <f t="shared" si="22"/>
        <v/>
      </c>
      <c r="X233" s="21" t="str">
        <f t="shared" si="23"/>
        <v/>
      </c>
    </row>
    <row r="234" spans="9:24" x14ac:dyDescent="0.35">
      <c r="I234" s="21" t="str">
        <f t="shared" si="18"/>
        <v/>
      </c>
      <c r="Q234" s="21" t="str">
        <f t="shared" si="19"/>
        <v>N/A</v>
      </c>
      <c r="R234" s="21" t="str">
        <f t="shared" si="20"/>
        <v>N/A</v>
      </c>
      <c r="T234" s="21" t="str">
        <f t="shared" si="21"/>
        <v/>
      </c>
      <c r="V234" s="21" t="str">
        <f t="shared" si="22"/>
        <v/>
      </c>
      <c r="X234" s="21" t="str">
        <f t="shared" si="23"/>
        <v/>
      </c>
    </row>
    <row r="235" spans="9:24" x14ac:dyDescent="0.35">
      <c r="I235" s="21" t="str">
        <f t="shared" si="18"/>
        <v/>
      </c>
      <c r="Q235" s="21" t="str">
        <f t="shared" si="19"/>
        <v>N/A</v>
      </c>
      <c r="R235" s="21" t="str">
        <f t="shared" si="20"/>
        <v>N/A</v>
      </c>
      <c r="T235" s="21" t="str">
        <f t="shared" si="21"/>
        <v/>
      </c>
      <c r="V235" s="21" t="str">
        <f t="shared" si="22"/>
        <v/>
      </c>
      <c r="X235" s="21" t="str">
        <f t="shared" si="23"/>
        <v/>
      </c>
    </row>
    <row r="236" spans="9:24" x14ac:dyDescent="0.35">
      <c r="I236" s="21" t="str">
        <f t="shared" si="18"/>
        <v/>
      </c>
      <c r="Q236" s="21" t="str">
        <f t="shared" si="19"/>
        <v>N/A</v>
      </c>
      <c r="R236" s="21" t="str">
        <f t="shared" si="20"/>
        <v>N/A</v>
      </c>
      <c r="T236" s="21" t="str">
        <f t="shared" si="21"/>
        <v/>
      </c>
      <c r="V236" s="21" t="str">
        <f t="shared" si="22"/>
        <v/>
      </c>
      <c r="X236" s="21" t="str">
        <f t="shared" si="23"/>
        <v/>
      </c>
    </row>
    <row r="237" spans="9:24" x14ac:dyDescent="0.35">
      <c r="I237" s="21" t="str">
        <f t="shared" si="18"/>
        <v/>
      </c>
      <c r="Q237" s="21" t="str">
        <f t="shared" si="19"/>
        <v>N/A</v>
      </c>
      <c r="R237" s="21" t="str">
        <f t="shared" si="20"/>
        <v>N/A</v>
      </c>
      <c r="T237" s="21" t="str">
        <f t="shared" si="21"/>
        <v/>
      </c>
      <c r="V237" s="21" t="str">
        <f t="shared" si="22"/>
        <v/>
      </c>
      <c r="X237" s="21" t="str">
        <f t="shared" si="23"/>
        <v/>
      </c>
    </row>
    <row r="238" spans="9:24" x14ac:dyDescent="0.35">
      <c r="I238" s="21" t="str">
        <f t="shared" si="18"/>
        <v/>
      </c>
      <c r="Q238" s="21" t="str">
        <f t="shared" si="19"/>
        <v>N/A</v>
      </c>
      <c r="R238" s="21" t="str">
        <f t="shared" si="20"/>
        <v>N/A</v>
      </c>
      <c r="T238" s="21" t="str">
        <f t="shared" si="21"/>
        <v/>
      </c>
      <c r="V238" s="21" t="str">
        <f t="shared" si="22"/>
        <v/>
      </c>
      <c r="X238" s="21" t="str">
        <f t="shared" si="23"/>
        <v/>
      </c>
    </row>
    <row r="239" spans="9:24" x14ac:dyDescent="0.35">
      <c r="I239" s="21" t="str">
        <f t="shared" si="18"/>
        <v/>
      </c>
      <c r="Q239" s="21" t="str">
        <f t="shared" si="19"/>
        <v>N/A</v>
      </c>
      <c r="R239" s="21" t="str">
        <f t="shared" si="20"/>
        <v>N/A</v>
      </c>
      <c r="T239" s="21" t="str">
        <f t="shared" si="21"/>
        <v/>
      </c>
      <c r="V239" s="21" t="str">
        <f t="shared" si="22"/>
        <v/>
      </c>
      <c r="X239" s="21" t="str">
        <f t="shared" si="23"/>
        <v/>
      </c>
    </row>
    <row r="240" spans="9:24" x14ac:dyDescent="0.35">
      <c r="I240" s="21" t="str">
        <f t="shared" si="18"/>
        <v/>
      </c>
      <c r="Q240" s="21" t="str">
        <f t="shared" si="19"/>
        <v>N/A</v>
      </c>
      <c r="R240" s="21" t="str">
        <f t="shared" si="20"/>
        <v>N/A</v>
      </c>
      <c r="T240" s="21" t="str">
        <f t="shared" si="21"/>
        <v/>
      </c>
      <c r="V240" s="21" t="str">
        <f t="shared" si="22"/>
        <v/>
      </c>
      <c r="X240" s="21" t="str">
        <f t="shared" si="23"/>
        <v/>
      </c>
    </row>
    <row r="241" spans="9:24" x14ac:dyDescent="0.35">
      <c r="I241" s="21" t="str">
        <f t="shared" si="18"/>
        <v/>
      </c>
      <c r="Q241" s="21" t="str">
        <f t="shared" si="19"/>
        <v>N/A</v>
      </c>
      <c r="R241" s="21" t="str">
        <f t="shared" si="20"/>
        <v>N/A</v>
      </c>
      <c r="T241" s="21" t="str">
        <f t="shared" si="21"/>
        <v/>
      </c>
      <c r="V241" s="21" t="str">
        <f t="shared" si="22"/>
        <v/>
      </c>
      <c r="X241" s="21" t="str">
        <f t="shared" si="23"/>
        <v/>
      </c>
    </row>
    <row r="242" spans="9:24" x14ac:dyDescent="0.35">
      <c r="I242" s="21" t="str">
        <f t="shared" si="18"/>
        <v/>
      </c>
      <c r="Q242" s="21" t="str">
        <f t="shared" si="19"/>
        <v>N/A</v>
      </c>
      <c r="R242" s="21" t="str">
        <f t="shared" si="20"/>
        <v>N/A</v>
      </c>
      <c r="T242" s="21" t="str">
        <f t="shared" si="21"/>
        <v/>
      </c>
      <c r="V242" s="21" t="str">
        <f t="shared" si="22"/>
        <v/>
      </c>
      <c r="X242" s="21" t="str">
        <f t="shared" si="23"/>
        <v/>
      </c>
    </row>
    <row r="243" spans="9:24" x14ac:dyDescent="0.35">
      <c r="I243" s="21" t="str">
        <f t="shared" si="18"/>
        <v/>
      </c>
      <c r="Q243" s="21" t="str">
        <f t="shared" si="19"/>
        <v>N/A</v>
      </c>
      <c r="R243" s="21" t="str">
        <f t="shared" si="20"/>
        <v>N/A</v>
      </c>
      <c r="T243" s="21" t="str">
        <f t="shared" si="21"/>
        <v/>
      </c>
      <c r="V243" s="21" t="str">
        <f t="shared" si="22"/>
        <v/>
      </c>
      <c r="X243" s="21" t="str">
        <f t="shared" si="23"/>
        <v/>
      </c>
    </row>
    <row r="244" spans="9:24" x14ac:dyDescent="0.35">
      <c r="I244" s="21" t="str">
        <f t="shared" si="18"/>
        <v/>
      </c>
      <c r="Q244" s="21" t="str">
        <f t="shared" si="19"/>
        <v>N/A</v>
      </c>
      <c r="R244" s="21" t="str">
        <f t="shared" si="20"/>
        <v>N/A</v>
      </c>
      <c r="T244" s="21" t="str">
        <f t="shared" si="21"/>
        <v/>
      </c>
      <c r="V244" s="21" t="str">
        <f t="shared" si="22"/>
        <v/>
      </c>
      <c r="X244" s="21" t="str">
        <f t="shared" si="23"/>
        <v/>
      </c>
    </row>
    <row r="245" spans="9:24" x14ac:dyDescent="0.35">
      <c r="I245" s="21" t="str">
        <f t="shared" si="18"/>
        <v/>
      </c>
      <c r="Q245" s="21" t="str">
        <f t="shared" si="19"/>
        <v>N/A</v>
      </c>
      <c r="R245" s="21" t="str">
        <f t="shared" si="20"/>
        <v>N/A</v>
      </c>
      <c r="T245" s="21" t="str">
        <f t="shared" si="21"/>
        <v/>
      </c>
      <c r="V245" s="21" t="str">
        <f t="shared" si="22"/>
        <v/>
      </c>
      <c r="X245" s="21" t="str">
        <f t="shared" si="23"/>
        <v/>
      </c>
    </row>
    <row r="246" spans="9:24" x14ac:dyDescent="0.35">
      <c r="I246" s="21" t="str">
        <f t="shared" si="18"/>
        <v/>
      </c>
      <c r="Q246" s="21" t="str">
        <f t="shared" si="19"/>
        <v>N/A</v>
      </c>
      <c r="R246" s="21" t="str">
        <f t="shared" si="20"/>
        <v>N/A</v>
      </c>
      <c r="T246" s="21" t="str">
        <f t="shared" si="21"/>
        <v/>
      </c>
      <c r="V246" s="21" t="str">
        <f t="shared" si="22"/>
        <v/>
      </c>
      <c r="X246" s="21" t="str">
        <f t="shared" si="23"/>
        <v/>
      </c>
    </row>
    <row r="247" spans="9:24" x14ac:dyDescent="0.35">
      <c r="I247" s="21" t="str">
        <f t="shared" si="18"/>
        <v/>
      </c>
      <c r="Q247" s="21" t="str">
        <f t="shared" si="19"/>
        <v>N/A</v>
      </c>
      <c r="R247" s="21" t="str">
        <f t="shared" si="20"/>
        <v>N/A</v>
      </c>
      <c r="T247" s="21" t="str">
        <f t="shared" si="21"/>
        <v/>
      </c>
      <c r="V247" s="21" t="str">
        <f t="shared" si="22"/>
        <v/>
      </c>
      <c r="X247" s="21" t="str">
        <f t="shared" si="23"/>
        <v/>
      </c>
    </row>
    <row r="248" spans="9:24" x14ac:dyDescent="0.35">
      <c r="I248" s="21" t="str">
        <f t="shared" si="18"/>
        <v/>
      </c>
      <c r="Q248" s="21" t="str">
        <f t="shared" si="19"/>
        <v>N/A</v>
      </c>
      <c r="R248" s="21" t="str">
        <f t="shared" si="20"/>
        <v>N/A</v>
      </c>
      <c r="T248" s="21" t="str">
        <f t="shared" si="21"/>
        <v/>
      </c>
      <c r="V248" s="21" t="str">
        <f t="shared" si="22"/>
        <v/>
      </c>
      <c r="X248" s="21" t="str">
        <f t="shared" si="23"/>
        <v/>
      </c>
    </row>
    <row r="249" spans="9:24" x14ac:dyDescent="0.35">
      <c r="I249" s="21" t="str">
        <f t="shared" si="18"/>
        <v/>
      </c>
      <c r="Q249" s="21" t="str">
        <f t="shared" si="19"/>
        <v>N/A</v>
      </c>
      <c r="R249" s="21" t="str">
        <f t="shared" si="20"/>
        <v>N/A</v>
      </c>
      <c r="T249" s="21" t="str">
        <f t="shared" si="21"/>
        <v/>
      </c>
      <c r="V249" s="21" t="str">
        <f t="shared" si="22"/>
        <v/>
      </c>
      <c r="X249" s="21" t="str">
        <f t="shared" si="23"/>
        <v/>
      </c>
    </row>
    <row r="250" spans="9:24" x14ac:dyDescent="0.35">
      <c r="I250" s="21" t="str">
        <f t="shared" si="18"/>
        <v/>
      </c>
      <c r="Q250" s="21" t="str">
        <f t="shared" si="19"/>
        <v>N/A</v>
      </c>
      <c r="R250" s="21" t="str">
        <f t="shared" si="20"/>
        <v>N/A</v>
      </c>
      <c r="T250" s="21" t="str">
        <f t="shared" si="21"/>
        <v/>
      </c>
      <c r="V250" s="21" t="str">
        <f t="shared" si="22"/>
        <v/>
      </c>
      <c r="X250" s="21" t="str">
        <f t="shared" si="23"/>
        <v/>
      </c>
    </row>
    <row r="251" spans="9:24" x14ac:dyDescent="0.35">
      <c r="I251" s="21" t="str">
        <f t="shared" si="18"/>
        <v/>
      </c>
      <c r="Q251" s="21" t="str">
        <f t="shared" si="19"/>
        <v>N/A</v>
      </c>
      <c r="R251" s="21" t="str">
        <f t="shared" si="20"/>
        <v>N/A</v>
      </c>
      <c r="T251" s="21" t="str">
        <f t="shared" si="21"/>
        <v/>
      </c>
      <c r="V251" s="21" t="str">
        <f t="shared" si="22"/>
        <v/>
      </c>
      <c r="X251" s="21" t="str">
        <f t="shared" si="23"/>
        <v/>
      </c>
    </row>
    <row r="252" spans="9:24" x14ac:dyDescent="0.35">
      <c r="I252" s="21" t="str">
        <f t="shared" si="18"/>
        <v/>
      </c>
      <c r="Q252" s="21" t="str">
        <f t="shared" si="19"/>
        <v>N/A</v>
      </c>
      <c r="R252" s="21" t="str">
        <f t="shared" si="20"/>
        <v>N/A</v>
      </c>
      <c r="T252" s="21" t="str">
        <f t="shared" si="21"/>
        <v/>
      </c>
      <c r="V252" s="21" t="str">
        <f t="shared" si="22"/>
        <v/>
      </c>
      <c r="X252" s="21" t="str">
        <f t="shared" si="23"/>
        <v/>
      </c>
    </row>
    <row r="253" spans="9:24" x14ac:dyDescent="0.35">
      <c r="I253" s="21" t="str">
        <f t="shared" si="18"/>
        <v/>
      </c>
      <c r="Q253" s="21" t="str">
        <f t="shared" si="19"/>
        <v>N/A</v>
      </c>
      <c r="R253" s="21" t="str">
        <f t="shared" si="20"/>
        <v>N/A</v>
      </c>
      <c r="T253" s="21" t="str">
        <f t="shared" si="21"/>
        <v/>
      </c>
      <c r="V253" s="21" t="str">
        <f t="shared" si="22"/>
        <v/>
      </c>
      <c r="X253" s="21" t="str">
        <f t="shared" si="23"/>
        <v/>
      </c>
    </row>
    <row r="254" spans="9:24" x14ac:dyDescent="0.35">
      <c r="I254" s="21" t="str">
        <f t="shared" si="18"/>
        <v/>
      </c>
      <c r="Q254" s="21" t="str">
        <f t="shared" si="19"/>
        <v>N/A</v>
      </c>
      <c r="R254" s="21" t="str">
        <f t="shared" si="20"/>
        <v>N/A</v>
      </c>
      <c r="T254" s="21" t="str">
        <f t="shared" si="21"/>
        <v/>
      </c>
      <c r="V254" s="21" t="str">
        <f t="shared" si="22"/>
        <v/>
      </c>
      <c r="X254" s="21" t="str">
        <f t="shared" si="23"/>
        <v/>
      </c>
    </row>
    <row r="255" spans="9:24" x14ac:dyDescent="0.35">
      <c r="I255" s="21" t="str">
        <f t="shared" si="18"/>
        <v/>
      </c>
      <c r="Q255" s="21" t="str">
        <f t="shared" si="19"/>
        <v>N/A</v>
      </c>
      <c r="R255" s="21" t="str">
        <f t="shared" si="20"/>
        <v>N/A</v>
      </c>
      <c r="T255" s="21" t="str">
        <f t="shared" si="21"/>
        <v/>
      </c>
      <c r="V255" s="21" t="str">
        <f t="shared" si="22"/>
        <v/>
      </c>
      <c r="X255" s="21" t="str">
        <f t="shared" si="23"/>
        <v/>
      </c>
    </row>
    <row r="256" spans="9:24" x14ac:dyDescent="0.35">
      <c r="I256" s="21" t="str">
        <f t="shared" si="18"/>
        <v/>
      </c>
      <c r="Q256" s="21" t="str">
        <f t="shared" si="19"/>
        <v>N/A</v>
      </c>
      <c r="R256" s="21" t="str">
        <f t="shared" si="20"/>
        <v>N/A</v>
      </c>
      <c r="T256" s="21" t="str">
        <f t="shared" si="21"/>
        <v/>
      </c>
      <c r="V256" s="21" t="str">
        <f t="shared" si="22"/>
        <v/>
      </c>
      <c r="X256" s="21" t="str">
        <f t="shared" si="23"/>
        <v/>
      </c>
    </row>
    <row r="257" spans="9:24" x14ac:dyDescent="0.35">
      <c r="I257" s="21" t="str">
        <f t="shared" si="18"/>
        <v/>
      </c>
      <c r="Q257" s="21" t="str">
        <f t="shared" si="19"/>
        <v>N/A</v>
      </c>
      <c r="R257" s="21" t="str">
        <f t="shared" si="20"/>
        <v>N/A</v>
      </c>
      <c r="T257" s="21" t="str">
        <f t="shared" si="21"/>
        <v/>
      </c>
      <c r="V257" s="21" t="str">
        <f t="shared" si="22"/>
        <v/>
      </c>
      <c r="X257" s="21" t="str">
        <f t="shared" si="23"/>
        <v/>
      </c>
    </row>
    <row r="258" spans="9:24" x14ac:dyDescent="0.35">
      <c r="I258" s="21" t="str">
        <f t="shared" si="18"/>
        <v/>
      </c>
      <c r="Q258" s="21" t="str">
        <f t="shared" si="19"/>
        <v>N/A</v>
      </c>
      <c r="R258" s="21" t="str">
        <f t="shared" si="20"/>
        <v>N/A</v>
      </c>
      <c r="T258" s="21" t="str">
        <f t="shared" si="21"/>
        <v/>
      </c>
      <c r="V258" s="21" t="str">
        <f t="shared" si="22"/>
        <v/>
      </c>
      <c r="X258" s="21" t="str">
        <f t="shared" si="23"/>
        <v/>
      </c>
    </row>
    <row r="259" spans="9:24" x14ac:dyDescent="0.35">
      <c r="I259" s="21" t="str">
        <f t="shared" si="18"/>
        <v/>
      </c>
      <c r="Q259" s="21" t="str">
        <f t="shared" si="19"/>
        <v>N/A</v>
      </c>
      <c r="R259" s="21" t="str">
        <f t="shared" si="20"/>
        <v>N/A</v>
      </c>
      <c r="T259" s="21" t="str">
        <f t="shared" si="21"/>
        <v/>
      </c>
      <c r="V259" s="21" t="str">
        <f t="shared" si="22"/>
        <v/>
      </c>
      <c r="X259" s="21" t="str">
        <f t="shared" si="23"/>
        <v/>
      </c>
    </row>
    <row r="260" spans="9:24" x14ac:dyDescent="0.35">
      <c r="I260" s="21" t="str">
        <f t="shared" si="18"/>
        <v/>
      </c>
      <c r="Q260" s="21" t="str">
        <f t="shared" si="19"/>
        <v>N/A</v>
      </c>
      <c r="R260" s="21" t="str">
        <f t="shared" si="20"/>
        <v>N/A</v>
      </c>
      <c r="T260" s="21" t="str">
        <f t="shared" si="21"/>
        <v/>
      </c>
      <c r="V260" s="21" t="str">
        <f t="shared" si="22"/>
        <v/>
      </c>
      <c r="X260" s="21" t="str">
        <f t="shared" si="23"/>
        <v/>
      </c>
    </row>
    <row r="261" spans="9:24" x14ac:dyDescent="0.35">
      <c r="I261" s="21" t="str">
        <f t="shared" si="18"/>
        <v/>
      </c>
      <c r="Q261" s="21" t="str">
        <f t="shared" si="19"/>
        <v>N/A</v>
      </c>
      <c r="R261" s="21" t="str">
        <f t="shared" si="20"/>
        <v>N/A</v>
      </c>
      <c r="T261" s="21" t="str">
        <f t="shared" si="21"/>
        <v/>
      </c>
      <c r="V261" s="21" t="str">
        <f t="shared" si="22"/>
        <v/>
      </c>
      <c r="X261" s="21" t="str">
        <f t="shared" si="23"/>
        <v/>
      </c>
    </row>
    <row r="262" spans="9:24" x14ac:dyDescent="0.35">
      <c r="I262" s="21" t="str">
        <f t="shared" ref="I262:I325" si="24">IF(OR(G262&lt;&gt;"",H262&lt;&gt;""),G262-H262,"")</f>
        <v/>
      </c>
      <c r="Q262" s="21" t="str">
        <f t="shared" ref="Q262:Q325" si="25">IFERROR(IF(K262="","N/A",IF(ISNUMBER(MATCH(K262,OLD_PROJECTS,0)),"Yes","No")),"N/A")</f>
        <v>N/A</v>
      </c>
      <c r="R262" s="21" t="str">
        <f t="shared" ref="R262:R325" si="26">IFERROR(IF(K262="","N/A",IF(Q262="Yes","No","Yes")),"N/A")</f>
        <v>N/A</v>
      </c>
      <c r="T262" s="21" t="str">
        <f t="shared" ref="T262:T325" si="27">IFERROR(IF(S262="","",IF(S262="SHARED","Yes",IF(AND(INDEX(COA_OVERHEAD,MATCH(D262,COA_LEDGER,0))="Y",S262="OLD"),"Yes",IF(AND(INDEX(COA_CLASS,MATCH(D262,COA_LEDGER,0))="Income",S262="NEW",Q262="Yes"),"Yes","No")))),"Check Ledger")</f>
        <v/>
      </c>
      <c r="V262" s="21" t="str">
        <f t="shared" ref="V262:V325" si="28">IFERROR(IF(D262="","",IF(INDEX(COA_COMPANY,MATCH(D262,COA_LEDGER,0))="New Company","NEW",IF(INDEX(COA_COMPANY,MATCH(D262,COA_LEDGER,0))="Old Company","OLD",IF(Q262="Yes","OLD","NEW")))),"Check Ledger")</f>
        <v/>
      </c>
      <c r="X262" s="21" t="str">
        <f t="shared" ref="X262:X325" si="29">IFERROR(IF(B262="","",IF(ROUND(SUMIF(TXN_VNO,B262,TXN_DEBIT)-SUMIF(TXN_VNO,B262,TXN_CREDIT),2)=0,"Yes","No")),"")</f>
        <v/>
      </c>
    </row>
    <row r="263" spans="9:24" x14ac:dyDescent="0.35">
      <c r="I263" s="21" t="str">
        <f t="shared" si="24"/>
        <v/>
      </c>
      <c r="Q263" s="21" t="str">
        <f t="shared" si="25"/>
        <v>N/A</v>
      </c>
      <c r="R263" s="21" t="str">
        <f t="shared" si="26"/>
        <v>N/A</v>
      </c>
      <c r="T263" s="21" t="str">
        <f t="shared" si="27"/>
        <v/>
      </c>
      <c r="V263" s="21" t="str">
        <f t="shared" si="28"/>
        <v/>
      </c>
      <c r="X263" s="21" t="str">
        <f t="shared" si="29"/>
        <v/>
      </c>
    </row>
    <row r="264" spans="9:24" x14ac:dyDescent="0.35">
      <c r="I264" s="21" t="str">
        <f t="shared" si="24"/>
        <v/>
      </c>
      <c r="Q264" s="21" t="str">
        <f t="shared" si="25"/>
        <v>N/A</v>
      </c>
      <c r="R264" s="21" t="str">
        <f t="shared" si="26"/>
        <v>N/A</v>
      </c>
      <c r="T264" s="21" t="str">
        <f t="shared" si="27"/>
        <v/>
      </c>
      <c r="V264" s="21" t="str">
        <f t="shared" si="28"/>
        <v/>
      </c>
      <c r="X264" s="21" t="str">
        <f t="shared" si="29"/>
        <v/>
      </c>
    </row>
    <row r="265" spans="9:24" x14ac:dyDescent="0.35">
      <c r="I265" s="21" t="str">
        <f t="shared" si="24"/>
        <v/>
      </c>
      <c r="Q265" s="21" t="str">
        <f t="shared" si="25"/>
        <v>N/A</v>
      </c>
      <c r="R265" s="21" t="str">
        <f t="shared" si="26"/>
        <v>N/A</v>
      </c>
      <c r="T265" s="21" t="str">
        <f t="shared" si="27"/>
        <v/>
      </c>
      <c r="V265" s="21" t="str">
        <f t="shared" si="28"/>
        <v/>
      </c>
      <c r="X265" s="21" t="str">
        <f t="shared" si="29"/>
        <v/>
      </c>
    </row>
    <row r="266" spans="9:24" x14ac:dyDescent="0.35">
      <c r="I266" s="21" t="str">
        <f t="shared" si="24"/>
        <v/>
      </c>
      <c r="Q266" s="21" t="str">
        <f t="shared" si="25"/>
        <v>N/A</v>
      </c>
      <c r="R266" s="21" t="str">
        <f t="shared" si="26"/>
        <v>N/A</v>
      </c>
      <c r="T266" s="21" t="str">
        <f t="shared" si="27"/>
        <v/>
      </c>
      <c r="V266" s="21" t="str">
        <f t="shared" si="28"/>
        <v/>
      </c>
      <c r="X266" s="21" t="str">
        <f t="shared" si="29"/>
        <v/>
      </c>
    </row>
    <row r="267" spans="9:24" x14ac:dyDescent="0.35">
      <c r="I267" s="21" t="str">
        <f t="shared" si="24"/>
        <v/>
      </c>
      <c r="Q267" s="21" t="str">
        <f t="shared" si="25"/>
        <v>N/A</v>
      </c>
      <c r="R267" s="21" t="str">
        <f t="shared" si="26"/>
        <v>N/A</v>
      </c>
      <c r="T267" s="21" t="str">
        <f t="shared" si="27"/>
        <v/>
      </c>
      <c r="V267" s="21" t="str">
        <f t="shared" si="28"/>
        <v/>
      </c>
      <c r="X267" s="21" t="str">
        <f t="shared" si="29"/>
        <v/>
      </c>
    </row>
    <row r="268" spans="9:24" x14ac:dyDescent="0.35">
      <c r="I268" s="21" t="str">
        <f t="shared" si="24"/>
        <v/>
      </c>
      <c r="Q268" s="21" t="str">
        <f t="shared" si="25"/>
        <v>N/A</v>
      </c>
      <c r="R268" s="21" t="str">
        <f t="shared" si="26"/>
        <v>N/A</v>
      </c>
      <c r="T268" s="21" t="str">
        <f t="shared" si="27"/>
        <v/>
      </c>
      <c r="V268" s="21" t="str">
        <f t="shared" si="28"/>
        <v/>
      </c>
      <c r="X268" s="21" t="str">
        <f t="shared" si="29"/>
        <v/>
      </c>
    </row>
    <row r="269" spans="9:24" x14ac:dyDescent="0.35">
      <c r="I269" s="21" t="str">
        <f t="shared" si="24"/>
        <v/>
      </c>
      <c r="Q269" s="21" t="str">
        <f t="shared" si="25"/>
        <v>N/A</v>
      </c>
      <c r="R269" s="21" t="str">
        <f t="shared" si="26"/>
        <v>N/A</v>
      </c>
      <c r="T269" s="21" t="str">
        <f t="shared" si="27"/>
        <v/>
      </c>
      <c r="V269" s="21" t="str">
        <f t="shared" si="28"/>
        <v/>
      </c>
      <c r="X269" s="21" t="str">
        <f t="shared" si="29"/>
        <v/>
      </c>
    </row>
    <row r="270" spans="9:24" x14ac:dyDescent="0.35">
      <c r="I270" s="21" t="str">
        <f t="shared" si="24"/>
        <v/>
      </c>
      <c r="Q270" s="21" t="str">
        <f t="shared" si="25"/>
        <v>N/A</v>
      </c>
      <c r="R270" s="21" t="str">
        <f t="shared" si="26"/>
        <v>N/A</v>
      </c>
      <c r="T270" s="21" t="str">
        <f t="shared" si="27"/>
        <v/>
      </c>
      <c r="V270" s="21" t="str">
        <f t="shared" si="28"/>
        <v/>
      </c>
      <c r="X270" s="21" t="str">
        <f t="shared" si="29"/>
        <v/>
      </c>
    </row>
    <row r="271" spans="9:24" x14ac:dyDescent="0.35">
      <c r="I271" s="21" t="str">
        <f t="shared" si="24"/>
        <v/>
      </c>
      <c r="Q271" s="21" t="str">
        <f t="shared" si="25"/>
        <v>N/A</v>
      </c>
      <c r="R271" s="21" t="str">
        <f t="shared" si="26"/>
        <v>N/A</v>
      </c>
      <c r="T271" s="21" t="str">
        <f t="shared" si="27"/>
        <v/>
      </c>
      <c r="V271" s="21" t="str">
        <f t="shared" si="28"/>
        <v/>
      </c>
      <c r="X271" s="21" t="str">
        <f t="shared" si="29"/>
        <v/>
      </c>
    </row>
    <row r="272" spans="9:24" x14ac:dyDescent="0.35">
      <c r="I272" s="21" t="str">
        <f t="shared" si="24"/>
        <v/>
      </c>
      <c r="Q272" s="21" t="str">
        <f t="shared" si="25"/>
        <v>N/A</v>
      </c>
      <c r="R272" s="21" t="str">
        <f t="shared" si="26"/>
        <v>N/A</v>
      </c>
      <c r="T272" s="21" t="str">
        <f t="shared" si="27"/>
        <v/>
      </c>
      <c r="V272" s="21" t="str">
        <f t="shared" si="28"/>
        <v/>
      </c>
      <c r="X272" s="21" t="str">
        <f t="shared" si="29"/>
        <v/>
      </c>
    </row>
    <row r="273" spans="9:24" x14ac:dyDescent="0.35">
      <c r="I273" s="21" t="str">
        <f t="shared" si="24"/>
        <v/>
      </c>
      <c r="Q273" s="21" t="str">
        <f t="shared" si="25"/>
        <v>N/A</v>
      </c>
      <c r="R273" s="21" t="str">
        <f t="shared" si="26"/>
        <v>N/A</v>
      </c>
      <c r="T273" s="21" t="str">
        <f t="shared" si="27"/>
        <v/>
      </c>
      <c r="V273" s="21" t="str">
        <f t="shared" si="28"/>
        <v/>
      </c>
      <c r="X273" s="21" t="str">
        <f t="shared" si="29"/>
        <v/>
      </c>
    </row>
    <row r="274" spans="9:24" x14ac:dyDescent="0.35">
      <c r="I274" s="21" t="str">
        <f t="shared" si="24"/>
        <v/>
      </c>
      <c r="Q274" s="21" t="str">
        <f t="shared" si="25"/>
        <v>N/A</v>
      </c>
      <c r="R274" s="21" t="str">
        <f t="shared" si="26"/>
        <v>N/A</v>
      </c>
      <c r="T274" s="21" t="str">
        <f t="shared" si="27"/>
        <v/>
      </c>
      <c r="V274" s="21" t="str">
        <f t="shared" si="28"/>
        <v/>
      </c>
      <c r="X274" s="21" t="str">
        <f t="shared" si="29"/>
        <v/>
      </c>
    </row>
    <row r="275" spans="9:24" x14ac:dyDescent="0.35">
      <c r="I275" s="21" t="str">
        <f t="shared" si="24"/>
        <v/>
      </c>
      <c r="Q275" s="21" t="str">
        <f t="shared" si="25"/>
        <v>N/A</v>
      </c>
      <c r="R275" s="21" t="str">
        <f t="shared" si="26"/>
        <v>N/A</v>
      </c>
      <c r="T275" s="21" t="str">
        <f t="shared" si="27"/>
        <v/>
      </c>
      <c r="V275" s="21" t="str">
        <f t="shared" si="28"/>
        <v/>
      </c>
      <c r="X275" s="21" t="str">
        <f t="shared" si="29"/>
        <v/>
      </c>
    </row>
    <row r="276" spans="9:24" x14ac:dyDescent="0.35">
      <c r="I276" s="21" t="str">
        <f t="shared" si="24"/>
        <v/>
      </c>
      <c r="Q276" s="21" t="str">
        <f t="shared" si="25"/>
        <v>N/A</v>
      </c>
      <c r="R276" s="21" t="str">
        <f t="shared" si="26"/>
        <v>N/A</v>
      </c>
      <c r="T276" s="21" t="str">
        <f t="shared" si="27"/>
        <v/>
      </c>
      <c r="V276" s="21" t="str">
        <f t="shared" si="28"/>
        <v/>
      </c>
      <c r="X276" s="21" t="str">
        <f t="shared" si="29"/>
        <v/>
      </c>
    </row>
    <row r="277" spans="9:24" x14ac:dyDescent="0.35">
      <c r="I277" s="21" t="str">
        <f t="shared" si="24"/>
        <v/>
      </c>
      <c r="Q277" s="21" t="str">
        <f t="shared" si="25"/>
        <v>N/A</v>
      </c>
      <c r="R277" s="21" t="str">
        <f t="shared" si="26"/>
        <v>N/A</v>
      </c>
      <c r="T277" s="21" t="str">
        <f t="shared" si="27"/>
        <v/>
      </c>
      <c r="V277" s="21" t="str">
        <f t="shared" si="28"/>
        <v/>
      </c>
      <c r="X277" s="21" t="str">
        <f t="shared" si="29"/>
        <v/>
      </c>
    </row>
    <row r="278" spans="9:24" x14ac:dyDescent="0.35">
      <c r="I278" s="21" t="str">
        <f t="shared" si="24"/>
        <v/>
      </c>
      <c r="Q278" s="21" t="str">
        <f t="shared" si="25"/>
        <v>N/A</v>
      </c>
      <c r="R278" s="21" t="str">
        <f t="shared" si="26"/>
        <v>N/A</v>
      </c>
      <c r="T278" s="21" t="str">
        <f t="shared" si="27"/>
        <v/>
      </c>
      <c r="V278" s="21" t="str">
        <f t="shared" si="28"/>
        <v/>
      </c>
      <c r="X278" s="21" t="str">
        <f t="shared" si="29"/>
        <v/>
      </c>
    </row>
    <row r="279" spans="9:24" x14ac:dyDescent="0.35">
      <c r="I279" s="21" t="str">
        <f t="shared" si="24"/>
        <v/>
      </c>
      <c r="Q279" s="21" t="str">
        <f t="shared" si="25"/>
        <v>N/A</v>
      </c>
      <c r="R279" s="21" t="str">
        <f t="shared" si="26"/>
        <v>N/A</v>
      </c>
      <c r="T279" s="21" t="str">
        <f t="shared" si="27"/>
        <v/>
      </c>
      <c r="V279" s="21" t="str">
        <f t="shared" si="28"/>
        <v/>
      </c>
      <c r="X279" s="21" t="str">
        <f t="shared" si="29"/>
        <v/>
      </c>
    </row>
    <row r="280" spans="9:24" x14ac:dyDescent="0.35">
      <c r="I280" s="21" t="str">
        <f t="shared" si="24"/>
        <v/>
      </c>
      <c r="Q280" s="21" t="str">
        <f t="shared" si="25"/>
        <v>N/A</v>
      </c>
      <c r="R280" s="21" t="str">
        <f t="shared" si="26"/>
        <v>N/A</v>
      </c>
      <c r="T280" s="21" t="str">
        <f t="shared" si="27"/>
        <v/>
      </c>
      <c r="V280" s="21" t="str">
        <f t="shared" si="28"/>
        <v/>
      </c>
      <c r="X280" s="21" t="str">
        <f t="shared" si="29"/>
        <v/>
      </c>
    </row>
    <row r="281" spans="9:24" x14ac:dyDescent="0.35">
      <c r="I281" s="21" t="str">
        <f t="shared" si="24"/>
        <v/>
      </c>
      <c r="Q281" s="21" t="str">
        <f t="shared" si="25"/>
        <v>N/A</v>
      </c>
      <c r="R281" s="21" t="str">
        <f t="shared" si="26"/>
        <v>N/A</v>
      </c>
      <c r="T281" s="21" t="str">
        <f t="shared" si="27"/>
        <v/>
      </c>
      <c r="V281" s="21" t="str">
        <f t="shared" si="28"/>
        <v/>
      </c>
      <c r="X281" s="21" t="str">
        <f t="shared" si="29"/>
        <v/>
      </c>
    </row>
    <row r="282" spans="9:24" x14ac:dyDescent="0.35">
      <c r="I282" s="21" t="str">
        <f t="shared" si="24"/>
        <v/>
      </c>
      <c r="Q282" s="21" t="str">
        <f t="shared" si="25"/>
        <v>N/A</v>
      </c>
      <c r="R282" s="21" t="str">
        <f t="shared" si="26"/>
        <v>N/A</v>
      </c>
      <c r="T282" s="21" t="str">
        <f t="shared" si="27"/>
        <v/>
      </c>
      <c r="V282" s="21" t="str">
        <f t="shared" si="28"/>
        <v/>
      </c>
      <c r="X282" s="21" t="str">
        <f t="shared" si="29"/>
        <v/>
      </c>
    </row>
    <row r="283" spans="9:24" x14ac:dyDescent="0.35">
      <c r="I283" s="21" t="str">
        <f t="shared" si="24"/>
        <v/>
      </c>
      <c r="Q283" s="21" t="str">
        <f t="shared" si="25"/>
        <v>N/A</v>
      </c>
      <c r="R283" s="21" t="str">
        <f t="shared" si="26"/>
        <v>N/A</v>
      </c>
      <c r="T283" s="21" t="str">
        <f t="shared" si="27"/>
        <v/>
      </c>
      <c r="V283" s="21" t="str">
        <f t="shared" si="28"/>
        <v/>
      </c>
      <c r="X283" s="21" t="str">
        <f t="shared" si="29"/>
        <v/>
      </c>
    </row>
    <row r="284" spans="9:24" x14ac:dyDescent="0.35">
      <c r="I284" s="21" t="str">
        <f t="shared" si="24"/>
        <v/>
      </c>
      <c r="Q284" s="21" t="str">
        <f t="shared" si="25"/>
        <v>N/A</v>
      </c>
      <c r="R284" s="21" t="str">
        <f t="shared" si="26"/>
        <v>N/A</v>
      </c>
      <c r="T284" s="21" t="str">
        <f t="shared" si="27"/>
        <v/>
      </c>
      <c r="V284" s="21" t="str">
        <f t="shared" si="28"/>
        <v/>
      </c>
      <c r="X284" s="21" t="str">
        <f t="shared" si="29"/>
        <v/>
      </c>
    </row>
    <row r="285" spans="9:24" x14ac:dyDescent="0.35">
      <c r="I285" s="21" t="str">
        <f t="shared" si="24"/>
        <v/>
      </c>
      <c r="Q285" s="21" t="str">
        <f t="shared" si="25"/>
        <v>N/A</v>
      </c>
      <c r="R285" s="21" t="str">
        <f t="shared" si="26"/>
        <v>N/A</v>
      </c>
      <c r="T285" s="21" t="str">
        <f t="shared" si="27"/>
        <v/>
      </c>
      <c r="V285" s="21" t="str">
        <f t="shared" si="28"/>
        <v/>
      </c>
      <c r="X285" s="21" t="str">
        <f t="shared" si="29"/>
        <v/>
      </c>
    </row>
    <row r="286" spans="9:24" x14ac:dyDescent="0.35">
      <c r="I286" s="21" t="str">
        <f t="shared" si="24"/>
        <v/>
      </c>
      <c r="Q286" s="21" t="str">
        <f t="shared" si="25"/>
        <v>N/A</v>
      </c>
      <c r="R286" s="21" t="str">
        <f t="shared" si="26"/>
        <v>N/A</v>
      </c>
      <c r="T286" s="21" t="str">
        <f t="shared" si="27"/>
        <v/>
      </c>
      <c r="V286" s="21" t="str">
        <f t="shared" si="28"/>
        <v/>
      </c>
      <c r="X286" s="21" t="str">
        <f t="shared" si="29"/>
        <v/>
      </c>
    </row>
    <row r="287" spans="9:24" x14ac:dyDescent="0.35">
      <c r="I287" s="21" t="str">
        <f t="shared" si="24"/>
        <v/>
      </c>
      <c r="Q287" s="21" t="str">
        <f t="shared" si="25"/>
        <v>N/A</v>
      </c>
      <c r="R287" s="21" t="str">
        <f t="shared" si="26"/>
        <v>N/A</v>
      </c>
      <c r="T287" s="21" t="str">
        <f t="shared" si="27"/>
        <v/>
      </c>
      <c r="V287" s="21" t="str">
        <f t="shared" si="28"/>
        <v/>
      </c>
      <c r="X287" s="21" t="str">
        <f t="shared" si="29"/>
        <v/>
      </c>
    </row>
    <row r="288" spans="9:24" x14ac:dyDescent="0.35">
      <c r="I288" s="21" t="str">
        <f t="shared" si="24"/>
        <v/>
      </c>
      <c r="Q288" s="21" t="str">
        <f t="shared" si="25"/>
        <v>N/A</v>
      </c>
      <c r="R288" s="21" t="str">
        <f t="shared" si="26"/>
        <v>N/A</v>
      </c>
      <c r="T288" s="21" t="str">
        <f t="shared" si="27"/>
        <v/>
      </c>
      <c r="V288" s="21" t="str">
        <f t="shared" si="28"/>
        <v/>
      </c>
      <c r="X288" s="21" t="str">
        <f t="shared" si="29"/>
        <v/>
      </c>
    </row>
    <row r="289" spans="9:24" x14ac:dyDescent="0.35">
      <c r="I289" s="21" t="str">
        <f t="shared" si="24"/>
        <v/>
      </c>
      <c r="Q289" s="21" t="str">
        <f t="shared" si="25"/>
        <v>N/A</v>
      </c>
      <c r="R289" s="21" t="str">
        <f t="shared" si="26"/>
        <v>N/A</v>
      </c>
      <c r="T289" s="21" t="str">
        <f t="shared" si="27"/>
        <v/>
      </c>
      <c r="V289" s="21" t="str">
        <f t="shared" si="28"/>
        <v/>
      </c>
      <c r="X289" s="21" t="str">
        <f t="shared" si="29"/>
        <v/>
      </c>
    </row>
    <row r="290" spans="9:24" x14ac:dyDescent="0.35">
      <c r="I290" s="21" t="str">
        <f t="shared" si="24"/>
        <v/>
      </c>
      <c r="Q290" s="21" t="str">
        <f t="shared" si="25"/>
        <v>N/A</v>
      </c>
      <c r="R290" s="21" t="str">
        <f t="shared" si="26"/>
        <v>N/A</v>
      </c>
      <c r="T290" s="21" t="str">
        <f t="shared" si="27"/>
        <v/>
      </c>
      <c r="V290" s="21" t="str">
        <f t="shared" si="28"/>
        <v/>
      </c>
      <c r="X290" s="21" t="str">
        <f t="shared" si="29"/>
        <v/>
      </c>
    </row>
    <row r="291" spans="9:24" x14ac:dyDescent="0.35">
      <c r="I291" s="21" t="str">
        <f t="shared" si="24"/>
        <v/>
      </c>
      <c r="Q291" s="21" t="str">
        <f t="shared" si="25"/>
        <v>N/A</v>
      </c>
      <c r="R291" s="21" t="str">
        <f t="shared" si="26"/>
        <v>N/A</v>
      </c>
      <c r="T291" s="21" t="str">
        <f t="shared" si="27"/>
        <v/>
      </c>
      <c r="V291" s="21" t="str">
        <f t="shared" si="28"/>
        <v/>
      </c>
      <c r="X291" s="21" t="str">
        <f t="shared" si="29"/>
        <v/>
      </c>
    </row>
    <row r="292" spans="9:24" x14ac:dyDescent="0.35">
      <c r="I292" s="21" t="str">
        <f t="shared" si="24"/>
        <v/>
      </c>
      <c r="Q292" s="21" t="str">
        <f t="shared" si="25"/>
        <v>N/A</v>
      </c>
      <c r="R292" s="21" t="str">
        <f t="shared" si="26"/>
        <v>N/A</v>
      </c>
      <c r="T292" s="21" t="str">
        <f t="shared" si="27"/>
        <v/>
      </c>
      <c r="V292" s="21" t="str">
        <f t="shared" si="28"/>
        <v/>
      </c>
      <c r="X292" s="21" t="str">
        <f t="shared" si="29"/>
        <v/>
      </c>
    </row>
    <row r="293" spans="9:24" x14ac:dyDescent="0.35">
      <c r="I293" s="21" t="str">
        <f t="shared" si="24"/>
        <v/>
      </c>
      <c r="Q293" s="21" t="str">
        <f t="shared" si="25"/>
        <v>N/A</v>
      </c>
      <c r="R293" s="21" t="str">
        <f t="shared" si="26"/>
        <v>N/A</v>
      </c>
      <c r="T293" s="21" t="str">
        <f t="shared" si="27"/>
        <v/>
      </c>
      <c r="V293" s="21" t="str">
        <f t="shared" si="28"/>
        <v/>
      </c>
      <c r="X293" s="21" t="str">
        <f t="shared" si="29"/>
        <v/>
      </c>
    </row>
    <row r="294" spans="9:24" x14ac:dyDescent="0.35">
      <c r="I294" s="21" t="str">
        <f t="shared" si="24"/>
        <v/>
      </c>
      <c r="Q294" s="21" t="str">
        <f t="shared" si="25"/>
        <v>N/A</v>
      </c>
      <c r="R294" s="21" t="str">
        <f t="shared" si="26"/>
        <v>N/A</v>
      </c>
      <c r="T294" s="21" t="str">
        <f t="shared" si="27"/>
        <v/>
      </c>
      <c r="V294" s="21" t="str">
        <f t="shared" si="28"/>
        <v/>
      </c>
      <c r="X294" s="21" t="str">
        <f t="shared" si="29"/>
        <v/>
      </c>
    </row>
    <row r="295" spans="9:24" x14ac:dyDescent="0.35">
      <c r="I295" s="21" t="str">
        <f t="shared" si="24"/>
        <v/>
      </c>
      <c r="Q295" s="21" t="str">
        <f t="shared" si="25"/>
        <v>N/A</v>
      </c>
      <c r="R295" s="21" t="str">
        <f t="shared" si="26"/>
        <v>N/A</v>
      </c>
      <c r="T295" s="21" t="str">
        <f t="shared" si="27"/>
        <v/>
      </c>
      <c r="V295" s="21" t="str">
        <f t="shared" si="28"/>
        <v/>
      </c>
      <c r="X295" s="21" t="str">
        <f t="shared" si="29"/>
        <v/>
      </c>
    </row>
    <row r="296" spans="9:24" x14ac:dyDescent="0.35">
      <c r="I296" s="21" t="str">
        <f t="shared" si="24"/>
        <v/>
      </c>
      <c r="Q296" s="21" t="str">
        <f t="shared" si="25"/>
        <v>N/A</v>
      </c>
      <c r="R296" s="21" t="str">
        <f t="shared" si="26"/>
        <v>N/A</v>
      </c>
      <c r="T296" s="21" t="str">
        <f t="shared" si="27"/>
        <v/>
      </c>
      <c r="V296" s="21" t="str">
        <f t="shared" si="28"/>
        <v/>
      </c>
      <c r="X296" s="21" t="str">
        <f t="shared" si="29"/>
        <v/>
      </c>
    </row>
    <row r="297" spans="9:24" x14ac:dyDescent="0.35">
      <c r="I297" s="21" t="str">
        <f t="shared" si="24"/>
        <v/>
      </c>
      <c r="Q297" s="21" t="str">
        <f t="shared" si="25"/>
        <v>N/A</v>
      </c>
      <c r="R297" s="21" t="str">
        <f t="shared" si="26"/>
        <v>N/A</v>
      </c>
      <c r="T297" s="21" t="str">
        <f t="shared" si="27"/>
        <v/>
      </c>
      <c r="V297" s="21" t="str">
        <f t="shared" si="28"/>
        <v/>
      </c>
      <c r="X297" s="21" t="str">
        <f t="shared" si="29"/>
        <v/>
      </c>
    </row>
    <row r="298" spans="9:24" x14ac:dyDescent="0.35">
      <c r="I298" s="21" t="str">
        <f t="shared" si="24"/>
        <v/>
      </c>
      <c r="Q298" s="21" t="str">
        <f t="shared" si="25"/>
        <v>N/A</v>
      </c>
      <c r="R298" s="21" t="str">
        <f t="shared" si="26"/>
        <v>N/A</v>
      </c>
      <c r="T298" s="21" t="str">
        <f t="shared" si="27"/>
        <v/>
      </c>
      <c r="V298" s="21" t="str">
        <f t="shared" si="28"/>
        <v/>
      </c>
      <c r="X298" s="21" t="str">
        <f t="shared" si="29"/>
        <v/>
      </c>
    </row>
    <row r="299" spans="9:24" x14ac:dyDescent="0.35">
      <c r="I299" s="21" t="str">
        <f t="shared" si="24"/>
        <v/>
      </c>
      <c r="Q299" s="21" t="str">
        <f t="shared" si="25"/>
        <v>N/A</v>
      </c>
      <c r="R299" s="21" t="str">
        <f t="shared" si="26"/>
        <v>N/A</v>
      </c>
      <c r="T299" s="21" t="str">
        <f t="shared" si="27"/>
        <v/>
      </c>
      <c r="V299" s="21" t="str">
        <f t="shared" si="28"/>
        <v/>
      </c>
      <c r="X299" s="21" t="str">
        <f t="shared" si="29"/>
        <v/>
      </c>
    </row>
    <row r="300" spans="9:24" x14ac:dyDescent="0.35">
      <c r="I300" s="21" t="str">
        <f t="shared" si="24"/>
        <v/>
      </c>
      <c r="Q300" s="21" t="str">
        <f t="shared" si="25"/>
        <v>N/A</v>
      </c>
      <c r="R300" s="21" t="str">
        <f t="shared" si="26"/>
        <v>N/A</v>
      </c>
      <c r="T300" s="21" t="str">
        <f t="shared" si="27"/>
        <v/>
      </c>
      <c r="V300" s="21" t="str">
        <f t="shared" si="28"/>
        <v/>
      </c>
      <c r="X300" s="21" t="str">
        <f t="shared" si="29"/>
        <v/>
      </c>
    </row>
    <row r="301" spans="9:24" x14ac:dyDescent="0.35">
      <c r="I301" s="21" t="str">
        <f t="shared" si="24"/>
        <v/>
      </c>
      <c r="Q301" s="21" t="str">
        <f t="shared" si="25"/>
        <v>N/A</v>
      </c>
      <c r="R301" s="21" t="str">
        <f t="shared" si="26"/>
        <v>N/A</v>
      </c>
      <c r="T301" s="21" t="str">
        <f t="shared" si="27"/>
        <v/>
      </c>
      <c r="V301" s="21" t="str">
        <f t="shared" si="28"/>
        <v/>
      </c>
      <c r="X301" s="21" t="str">
        <f t="shared" si="29"/>
        <v/>
      </c>
    </row>
    <row r="302" spans="9:24" x14ac:dyDescent="0.35">
      <c r="I302" s="21" t="str">
        <f t="shared" si="24"/>
        <v/>
      </c>
      <c r="Q302" s="21" t="str">
        <f t="shared" si="25"/>
        <v>N/A</v>
      </c>
      <c r="R302" s="21" t="str">
        <f t="shared" si="26"/>
        <v>N/A</v>
      </c>
      <c r="T302" s="21" t="str">
        <f t="shared" si="27"/>
        <v/>
      </c>
      <c r="V302" s="21" t="str">
        <f t="shared" si="28"/>
        <v/>
      </c>
      <c r="X302" s="21" t="str">
        <f t="shared" si="29"/>
        <v/>
      </c>
    </row>
    <row r="303" spans="9:24" x14ac:dyDescent="0.35">
      <c r="I303" s="21" t="str">
        <f t="shared" si="24"/>
        <v/>
      </c>
      <c r="Q303" s="21" t="str">
        <f t="shared" si="25"/>
        <v>N/A</v>
      </c>
      <c r="R303" s="21" t="str">
        <f t="shared" si="26"/>
        <v>N/A</v>
      </c>
      <c r="T303" s="21" t="str">
        <f t="shared" si="27"/>
        <v/>
      </c>
      <c r="V303" s="21" t="str">
        <f t="shared" si="28"/>
        <v/>
      </c>
      <c r="X303" s="21" t="str">
        <f t="shared" si="29"/>
        <v/>
      </c>
    </row>
    <row r="304" spans="9:24" x14ac:dyDescent="0.35">
      <c r="I304" s="21" t="str">
        <f t="shared" si="24"/>
        <v/>
      </c>
      <c r="Q304" s="21" t="str">
        <f t="shared" si="25"/>
        <v>N/A</v>
      </c>
      <c r="R304" s="21" t="str">
        <f t="shared" si="26"/>
        <v>N/A</v>
      </c>
      <c r="T304" s="21" t="str">
        <f t="shared" si="27"/>
        <v/>
      </c>
      <c r="V304" s="21" t="str">
        <f t="shared" si="28"/>
        <v/>
      </c>
      <c r="X304" s="21" t="str">
        <f t="shared" si="29"/>
        <v/>
      </c>
    </row>
    <row r="305" spans="9:24" x14ac:dyDescent="0.35">
      <c r="I305" s="21" t="str">
        <f t="shared" si="24"/>
        <v/>
      </c>
      <c r="Q305" s="21" t="str">
        <f t="shared" si="25"/>
        <v>N/A</v>
      </c>
      <c r="R305" s="21" t="str">
        <f t="shared" si="26"/>
        <v>N/A</v>
      </c>
      <c r="T305" s="21" t="str">
        <f t="shared" si="27"/>
        <v/>
      </c>
      <c r="V305" s="21" t="str">
        <f t="shared" si="28"/>
        <v/>
      </c>
      <c r="X305" s="21" t="str">
        <f t="shared" si="29"/>
        <v/>
      </c>
    </row>
    <row r="306" spans="9:24" x14ac:dyDescent="0.35">
      <c r="I306" s="21" t="str">
        <f t="shared" si="24"/>
        <v/>
      </c>
      <c r="Q306" s="21" t="str">
        <f t="shared" si="25"/>
        <v>N/A</v>
      </c>
      <c r="R306" s="21" t="str">
        <f t="shared" si="26"/>
        <v>N/A</v>
      </c>
      <c r="T306" s="21" t="str">
        <f t="shared" si="27"/>
        <v/>
      </c>
      <c r="V306" s="21" t="str">
        <f t="shared" si="28"/>
        <v/>
      </c>
      <c r="X306" s="21" t="str">
        <f t="shared" si="29"/>
        <v/>
      </c>
    </row>
    <row r="307" spans="9:24" x14ac:dyDescent="0.35">
      <c r="I307" s="21" t="str">
        <f t="shared" si="24"/>
        <v/>
      </c>
      <c r="Q307" s="21" t="str">
        <f t="shared" si="25"/>
        <v>N/A</v>
      </c>
      <c r="R307" s="21" t="str">
        <f t="shared" si="26"/>
        <v>N/A</v>
      </c>
      <c r="T307" s="21" t="str">
        <f t="shared" si="27"/>
        <v/>
      </c>
      <c r="V307" s="21" t="str">
        <f t="shared" si="28"/>
        <v/>
      </c>
      <c r="X307" s="21" t="str">
        <f t="shared" si="29"/>
        <v/>
      </c>
    </row>
    <row r="308" spans="9:24" x14ac:dyDescent="0.35">
      <c r="I308" s="21" t="str">
        <f t="shared" si="24"/>
        <v/>
      </c>
      <c r="Q308" s="21" t="str">
        <f t="shared" si="25"/>
        <v>N/A</v>
      </c>
      <c r="R308" s="21" t="str">
        <f t="shared" si="26"/>
        <v>N/A</v>
      </c>
      <c r="T308" s="21" t="str">
        <f t="shared" si="27"/>
        <v/>
      </c>
      <c r="V308" s="21" t="str">
        <f t="shared" si="28"/>
        <v/>
      </c>
      <c r="X308" s="21" t="str">
        <f t="shared" si="29"/>
        <v/>
      </c>
    </row>
    <row r="309" spans="9:24" x14ac:dyDescent="0.35">
      <c r="I309" s="21" t="str">
        <f t="shared" si="24"/>
        <v/>
      </c>
      <c r="Q309" s="21" t="str">
        <f t="shared" si="25"/>
        <v>N/A</v>
      </c>
      <c r="R309" s="21" t="str">
        <f t="shared" si="26"/>
        <v>N/A</v>
      </c>
      <c r="T309" s="21" t="str">
        <f t="shared" si="27"/>
        <v/>
      </c>
      <c r="V309" s="21" t="str">
        <f t="shared" si="28"/>
        <v/>
      </c>
      <c r="X309" s="21" t="str">
        <f t="shared" si="29"/>
        <v/>
      </c>
    </row>
    <row r="310" spans="9:24" x14ac:dyDescent="0.35">
      <c r="I310" s="21" t="str">
        <f t="shared" si="24"/>
        <v/>
      </c>
      <c r="Q310" s="21" t="str">
        <f t="shared" si="25"/>
        <v>N/A</v>
      </c>
      <c r="R310" s="21" t="str">
        <f t="shared" si="26"/>
        <v>N/A</v>
      </c>
      <c r="T310" s="21" t="str">
        <f t="shared" si="27"/>
        <v/>
      </c>
      <c r="V310" s="21" t="str">
        <f t="shared" si="28"/>
        <v/>
      </c>
      <c r="X310" s="21" t="str">
        <f t="shared" si="29"/>
        <v/>
      </c>
    </row>
    <row r="311" spans="9:24" x14ac:dyDescent="0.35">
      <c r="I311" s="21" t="str">
        <f t="shared" si="24"/>
        <v/>
      </c>
      <c r="Q311" s="21" t="str">
        <f t="shared" si="25"/>
        <v>N/A</v>
      </c>
      <c r="R311" s="21" t="str">
        <f t="shared" si="26"/>
        <v>N/A</v>
      </c>
      <c r="T311" s="21" t="str">
        <f t="shared" si="27"/>
        <v/>
      </c>
      <c r="V311" s="21" t="str">
        <f t="shared" si="28"/>
        <v/>
      </c>
      <c r="X311" s="21" t="str">
        <f t="shared" si="29"/>
        <v/>
      </c>
    </row>
    <row r="312" spans="9:24" x14ac:dyDescent="0.35">
      <c r="I312" s="21" t="str">
        <f t="shared" si="24"/>
        <v/>
      </c>
      <c r="Q312" s="21" t="str">
        <f t="shared" si="25"/>
        <v>N/A</v>
      </c>
      <c r="R312" s="21" t="str">
        <f t="shared" si="26"/>
        <v>N/A</v>
      </c>
      <c r="T312" s="21" t="str">
        <f t="shared" si="27"/>
        <v/>
      </c>
      <c r="V312" s="21" t="str">
        <f t="shared" si="28"/>
        <v/>
      </c>
      <c r="X312" s="21" t="str">
        <f t="shared" si="29"/>
        <v/>
      </c>
    </row>
    <row r="313" spans="9:24" x14ac:dyDescent="0.35">
      <c r="I313" s="21" t="str">
        <f t="shared" si="24"/>
        <v/>
      </c>
      <c r="Q313" s="21" t="str">
        <f t="shared" si="25"/>
        <v>N/A</v>
      </c>
      <c r="R313" s="21" t="str">
        <f t="shared" si="26"/>
        <v>N/A</v>
      </c>
      <c r="T313" s="21" t="str">
        <f t="shared" si="27"/>
        <v/>
      </c>
      <c r="V313" s="21" t="str">
        <f t="shared" si="28"/>
        <v/>
      </c>
      <c r="X313" s="21" t="str">
        <f t="shared" si="29"/>
        <v/>
      </c>
    </row>
    <row r="314" spans="9:24" x14ac:dyDescent="0.35">
      <c r="I314" s="21" t="str">
        <f t="shared" si="24"/>
        <v/>
      </c>
      <c r="Q314" s="21" t="str">
        <f t="shared" si="25"/>
        <v>N/A</v>
      </c>
      <c r="R314" s="21" t="str">
        <f t="shared" si="26"/>
        <v>N/A</v>
      </c>
      <c r="T314" s="21" t="str">
        <f t="shared" si="27"/>
        <v/>
      </c>
      <c r="V314" s="21" t="str">
        <f t="shared" si="28"/>
        <v/>
      </c>
      <c r="X314" s="21" t="str">
        <f t="shared" si="29"/>
        <v/>
      </c>
    </row>
    <row r="315" spans="9:24" x14ac:dyDescent="0.35">
      <c r="I315" s="21" t="str">
        <f t="shared" si="24"/>
        <v/>
      </c>
      <c r="Q315" s="21" t="str">
        <f t="shared" si="25"/>
        <v>N/A</v>
      </c>
      <c r="R315" s="21" t="str">
        <f t="shared" si="26"/>
        <v>N/A</v>
      </c>
      <c r="T315" s="21" t="str">
        <f t="shared" si="27"/>
        <v/>
      </c>
      <c r="V315" s="21" t="str">
        <f t="shared" si="28"/>
        <v/>
      </c>
      <c r="X315" s="21" t="str">
        <f t="shared" si="29"/>
        <v/>
      </c>
    </row>
    <row r="316" spans="9:24" x14ac:dyDescent="0.35">
      <c r="I316" s="21" t="str">
        <f t="shared" si="24"/>
        <v/>
      </c>
      <c r="Q316" s="21" t="str">
        <f t="shared" si="25"/>
        <v>N/A</v>
      </c>
      <c r="R316" s="21" t="str">
        <f t="shared" si="26"/>
        <v>N/A</v>
      </c>
      <c r="T316" s="21" t="str">
        <f t="shared" si="27"/>
        <v/>
      </c>
      <c r="V316" s="21" t="str">
        <f t="shared" si="28"/>
        <v/>
      </c>
      <c r="X316" s="21" t="str">
        <f t="shared" si="29"/>
        <v/>
      </c>
    </row>
    <row r="317" spans="9:24" x14ac:dyDescent="0.35">
      <c r="I317" s="21" t="str">
        <f t="shared" si="24"/>
        <v/>
      </c>
      <c r="Q317" s="21" t="str">
        <f t="shared" si="25"/>
        <v>N/A</v>
      </c>
      <c r="R317" s="21" t="str">
        <f t="shared" si="26"/>
        <v>N/A</v>
      </c>
      <c r="T317" s="21" t="str">
        <f t="shared" si="27"/>
        <v/>
      </c>
      <c r="V317" s="21" t="str">
        <f t="shared" si="28"/>
        <v/>
      </c>
      <c r="X317" s="21" t="str">
        <f t="shared" si="29"/>
        <v/>
      </c>
    </row>
    <row r="318" spans="9:24" x14ac:dyDescent="0.35">
      <c r="I318" s="21" t="str">
        <f t="shared" si="24"/>
        <v/>
      </c>
      <c r="Q318" s="21" t="str">
        <f t="shared" si="25"/>
        <v>N/A</v>
      </c>
      <c r="R318" s="21" t="str">
        <f t="shared" si="26"/>
        <v>N/A</v>
      </c>
      <c r="T318" s="21" t="str">
        <f t="shared" si="27"/>
        <v/>
      </c>
      <c r="V318" s="21" t="str">
        <f t="shared" si="28"/>
        <v/>
      </c>
      <c r="X318" s="21" t="str">
        <f t="shared" si="29"/>
        <v/>
      </c>
    </row>
    <row r="319" spans="9:24" x14ac:dyDescent="0.35">
      <c r="I319" s="21" t="str">
        <f t="shared" si="24"/>
        <v/>
      </c>
      <c r="Q319" s="21" t="str">
        <f t="shared" si="25"/>
        <v>N/A</v>
      </c>
      <c r="R319" s="21" t="str">
        <f t="shared" si="26"/>
        <v>N/A</v>
      </c>
      <c r="T319" s="21" t="str">
        <f t="shared" si="27"/>
        <v/>
      </c>
      <c r="V319" s="21" t="str">
        <f t="shared" si="28"/>
        <v/>
      </c>
      <c r="X319" s="21" t="str">
        <f t="shared" si="29"/>
        <v/>
      </c>
    </row>
    <row r="320" spans="9:24" x14ac:dyDescent="0.35">
      <c r="I320" s="21" t="str">
        <f t="shared" si="24"/>
        <v/>
      </c>
      <c r="Q320" s="21" t="str">
        <f t="shared" si="25"/>
        <v>N/A</v>
      </c>
      <c r="R320" s="21" t="str">
        <f t="shared" si="26"/>
        <v>N/A</v>
      </c>
      <c r="T320" s="21" t="str">
        <f t="shared" si="27"/>
        <v/>
      </c>
      <c r="V320" s="21" t="str">
        <f t="shared" si="28"/>
        <v/>
      </c>
      <c r="X320" s="21" t="str">
        <f t="shared" si="29"/>
        <v/>
      </c>
    </row>
    <row r="321" spans="9:24" x14ac:dyDescent="0.35">
      <c r="I321" s="21" t="str">
        <f t="shared" si="24"/>
        <v/>
      </c>
      <c r="Q321" s="21" t="str">
        <f t="shared" si="25"/>
        <v>N/A</v>
      </c>
      <c r="R321" s="21" t="str">
        <f t="shared" si="26"/>
        <v>N/A</v>
      </c>
      <c r="T321" s="21" t="str">
        <f t="shared" si="27"/>
        <v/>
      </c>
      <c r="V321" s="21" t="str">
        <f t="shared" si="28"/>
        <v/>
      </c>
      <c r="X321" s="21" t="str">
        <f t="shared" si="29"/>
        <v/>
      </c>
    </row>
    <row r="322" spans="9:24" x14ac:dyDescent="0.35">
      <c r="I322" s="21" t="str">
        <f t="shared" si="24"/>
        <v/>
      </c>
      <c r="Q322" s="21" t="str">
        <f t="shared" si="25"/>
        <v>N/A</v>
      </c>
      <c r="R322" s="21" t="str">
        <f t="shared" si="26"/>
        <v>N/A</v>
      </c>
      <c r="T322" s="21" t="str">
        <f t="shared" si="27"/>
        <v/>
      </c>
      <c r="V322" s="21" t="str">
        <f t="shared" si="28"/>
        <v/>
      </c>
      <c r="X322" s="21" t="str">
        <f t="shared" si="29"/>
        <v/>
      </c>
    </row>
    <row r="323" spans="9:24" x14ac:dyDescent="0.35">
      <c r="I323" s="21" t="str">
        <f t="shared" si="24"/>
        <v/>
      </c>
      <c r="Q323" s="21" t="str">
        <f t="shared" si="25"/>
        <v>N/A</v>
      </c>
      <c r="R323" s="21" t="str">
        <f t="shared" si="26"/>
        <v>N/A</v>
      </c>
      <c r="T323" s="21" t="str">
        <f t="shared" si="27"/>
        <v/>
      </c>
      <c r="V323" s="21" t="str">
        <f t="shared" si="28"/>
        <v/>
      </c>
      <c r="X323" s="21" t="str">
        <f t="shared" si="29"/>
        <v/>
      </c>
    </row>
    <row r="324" spans="9:24" x14ac:dyDescent="0.35">
      <c r="I324" s="21" t="str">
        <f t="shared" si="24"/>
        <v/>
      </c>
      <c r="Q324" s="21" t="str">
        <f t="shared" si="25"/>
        <v>N/A</v>
      </c>
      <c r="R324" s="21" t="str">
        <f t="shared" si="26"/>
        <v>N/A</v>
      </c>
      <c r="T324" s="21" t="str">
        <f t="shared" si="27"/>
        <v/>
      </c>
      <c r="V324" s="21" t="str">
        <f t="shared" si="28"/>
        <v/>
      </c>
      <c r="X324" s="21" t="str">
        <f t="shared" si="29"/>
        <v/>
      </c>
    </row>
    <row r="325" spans="9:24" x14ac:dyDescent="0.35">
      <c r="I325" s="21" t="str">
        <f t="shared" si="24"/>
        <v/>
      </c>
      <c r="Q325" s="21" t="str">
        <f t="shared" si="25"/>
        <v>N/A</v>
      </c>
      <c r="R325" s="21" t="str">
        <f t="shared" si="26"/>
        <v>N/A</v>
      </c>
      <c r="T325" s="21" t="str">
        <f t="shared" si="27"/>
        <v/>
      </c>
      <c r="V325" s="21" t="str">
        <f t="shared" si="28"/>
        <v/>
      </c>
      <c r="X325" s="21" t="str">
        <f t="shared" si="29"/>
        <v/>
      </c>
    </row>
    <row r="326" spans="9:24" x14ac:dyDescent="0.35">
      <c r="I326" s="21" t="str">
        <f t="shared" ref="I326:I389" si="30">IF(OR(G326&lt;&gt;"",H326&lt;&gt;""),G326-H326,"")</f>
        <v/>
      </c>
      <c r="Q326" s="21" t="str">
        <f t="shared" ref="Q326:Q389" si="31">IFERROR(IF(K326="","N/A",IF(ISNUMBER(MATCH(K326,OLD_PROJECTS,0)),"Yes","No")),"N/A")</f>
        <v>N/A</v>
      </c>
      <c r="R326" s="21" t="str">
        <f t="shared" ref="R326:R389" si="32">IFERROR(IF(K326="","N/A",IF(Q326="Yes","No","Yes")),"N/A")</f>
        <v>N/A</v>
      </c>
      <c r="T326" s="21" t="str">
        <f t="shared" ref="T326:T389" si="33">IFERROR(IF(S326="","",IF(S326="SHARED","Yes",IF(AND(INDEX(COA_OVERHEAD,MATCH(D326,COA_LEDGER,0))="Y",S326="OLD"),"Yes",IF(AND(INDEX(COA_CLASS,MATCH(D326,COA_LEDGER,0))="Income",S326="NEW",Q326="Yes"),"Yes","No")))),"Check Ledger")</f>
        <v/>
      </c>
      <c r="V326" s="21" t="str">
        <f t="shared" ref="V326:V389" si="34">IFERROR(IF(D326="","",IF(INDEX(COA_COMPANY,MATCH(D326,COA_LEDGER,0))="New Company","NEW",IF(INDEX(COA_COMPANY,MATCH(D326,COA_LEDGER,0))="Old Company","OLD",IF(Q326="Yes","OLD","NEW")))),"Check Ledger")</f>
        <v/>
      </c>
      <c r="X326" s="21" t="str">
        <f t="shared" ref="X326:X389" si="35">IFERROR(IF(B326="","",IF(ROUND(SUMIF(TXN_VNO,B326,TXN_DEBIT)-SUMIF(TXN_VNO,B326,TXN_CREDIT),2)=0,"Yes","No")),"")</f>
        <v/>
      </c>
    </row>
    <row r="327" spans="9:24" x14ac:dyDescent="0.35">
      <c r="I327" s="21" t="str">
        <f t="shared" si="30"/>
        <v/>
      </c>
      <c r="Q327" s="21" t="str">
        <f t="shared" si="31"/>
        <v>N/A</v>
      </c>
      <c r="R327" s="21" t="str">
        <f t="shared" si="32"/>
        <v>N/A</v>
      </c>
      <c r="T327" s="21" t="str">
        <f t="shared" si="33"/>
        <v/>
      </c>
      <c r="V327" s="21" t="str">
        <f t="shared" si="34"/>
        <v/>
      </c>
      <c r="X327" s="21" t="str">
        <f t="shared" si="35"/>
        <v/>
      </c>
    </row>
    <row r="328" spans="9:24" x14ac:dyDescent="0.35">
      <c r="I328" s="21" t="str">
        <f t="shared" si="30"/>
        <v/>
      </c>
      <c r="Q328" s="21" t="str">
        <f t="shared" si="31"/>
        <v>N/A</v>
      </c>
      <c r="R328" s="21" t="str">
        <f t="shared" si="32"/>
        <v>N/A</v>
      </c>
      <c r="T328" s="21" t="str">
        <f t="shared" si="33"/>
        <v/>
      </c>
      <c r="V328" s="21" t="str">
        <f t="shared" si="34"/>
        <v/>
      </c>
      <c r="X328" s="21" t="str">
        <f t="shared" si="35"/>
        <v/>
      </c>
    </row>
    <row r="329" spans="9:24" x14ac:dyDescent="0.35">
      <c r="I329" s="21" t="str">
        <f t="shared" si="30"/>
        <v/>
      </c>
      <c r="Q329" s="21" t="str">
        <f t="shared" si="31"/>
        <v>N/A</v>
      </c>
      <c r="R329" s="21" t="str">
        <f t="shared" si="32"/>
        <v>N/A</v>
      </c>
      <c r="T329" s="21" t="str">
        <f t="shared" si="33"/>
        <v/>
      </c>
      <c r="V329" s="21" t="str">
        <f t="shared" si="34"/>
        <v/>
      </c>
      <c r="X329" s="21" t="str">
        <f t="shared" si="35"/>
        <v/>
      </c>
    </row>
    <row r="330" spans="9:24" x14ac:dyDescent="0.35">
      <c r="I330" s="21" t="str">
        <f t="shared" si="30"/>
        <v/>
      </c>
      <c r="Q330" s="21" t="str">
        <f t="shared" si="31"/>
        <v>N/A</v>
      </c>
      <c r="R330" s="21" t="str">
        <f t="shared" si="32"/>
        <v>N/A</v>
      </c>
      <c r="T330" s="21" t="str">
        <f t="shared" si="33"/>
        <v/>
      </c>
      <c r="V330" s="21" t="str">
        <f t="shared" si="34"/>
        <v/>
      </c>
      <c r="X330" s="21" t="str">
        <f t="shared" si="35"/>
        <v/>
      </c>
    </row>
    <row r="331" spans="9:24" x14ac:dyDescent="0.35">
      <c r="I331" s="21" t="str">
        <f t="shared" si="30"/>
        <v/>
      </c>
      <c r="Q331" s="21" t="str">
        <f t="shared" si="31"/>
        <v>N/A</v>
      </c>
      <c r="R331" s="21" t="str">
        <f t="shared" si="32"/>
        <v>N/A</v>
      </c>
      <c r="T331" s="21" t="str">
        <f t="shared" si="33"/>
        <v/>
      </c>
      <c r="V331" s="21" t="str">
        <f t="shared" si="34"/>
        <v/>
      </c>
      <c r="X331" s="21" t="str">
        <f t="shared" si="35"/>
        <v/>
      </c>
    </row>
    <row r="332" spans="9:24" x14ac:dyDescent="0.35">
      <c r="I332" s="21" t="str">
        <f t="shared" si="30"/>
        <v/>
      </c>
      <c r="Q332" s="21" t="str">
        <f t="shared" si="31"/>
        <v>N/A</v>
      </c>
      <c r="R332" s="21" t="str">
        <f t="shared" si="32"/>
        <v>N/A</v>
      </c>
      <c r="T332" s="21" t="str">
        <f t="shared" si="33"/>
        <v/>
      </c>
      <c r="V332" s="21" t="str">
        <f t="shared" si="34"/>
        <v/>
      </c>
      <c r="X332" s="21" t="str">
        <f t="shared" si="35"/>
        <v/>
      </c>
    </row>
    <row r="333" spans="9:24" x14ac:dyDescent="0.35">
      <c r="I333" s="21" t="str">
        <f t="shared" si="30"/>
        <v/>
      </c>
      <c r="Q333" s="21" t="str">
        <f t="shared" si="31"/>
        <v>N/A</v>
      </c>
      <c r="R333" s="21" t="str">
        <f t="shared" si="32"/>
        <v>N/A</v>
      </c>
      <c r="T333" s="21" t="str">
        <f t="shared" si="33"/>
        <v/>
      </c>
      <c r="V333" s="21" t="str">
        <f t="shared" si="34"/>
        <v/>
      </c>
      <c r="X333" s="21" t="str">
        <f t="shared" si="35"/>
        <v/>
      </c>
    </row>
    <row r="334" spans="9:24" x14ac:dyDescent="0.35">
      <c r="I334" s="21" t="str">
        <f t="shared" si="30"/>
        <v/>
      </c>
      <c r="Q334" s="21" t="str">
        <f t="shared" si="31"/>
        <v>N/A</v>
      </c>
      <c r="R334" s="21" t="str">
        <f t="shared" si="32"/>
        <v>N/A</v>
      </c>
      <c r="T334" s="21" t="str">
        <f t="shared" si="33"/>
        <v/>
      </c>
      <c r="V334" s="21" t="str">
        <f t="shared" si="34"/>
        <v/>
      </c>
      <c r="X334" s="21" t="str">
        <f t="shared" si="35"/>
        <v/>
      </c>
    </row>
    <row r="335" spans="9:24" x14ac:dyDescent="0.35">
      <c r="I335" s="21" t="str">
        <f t="shared" si="30"/>
        <v/>
      </c>
      <c r="Q335" s="21" t="str">
        <f t="shared" si="31"/>
        <v>N/A</v>
      </c>
      <c r="R335" s="21" t="str">
        <f t="shared" si="32"/>
        <v>N/A</v>
      </c>
      <c r="T335" s="21" t="str">
        <f t="shared" si="33"/>
        <v/>
      </c>
      <c r="V335" s="21" t="str">
        <f t="shared" si="34"/>
        <v/>
      </c>
      <c r="X335" s="21" t="str">
        <f t="shared" si="35"/>
        <v/>
      </c>
    </row>
    <row r="336" spans="9:24" x14ac:dyDescent="0.35">
      <c r="I336" s="21" t="str">
        <f t="shared" si="30"/>
        <v/>
      </c>
      <c r="Q336" s="21" t="str">
        <f t="shared" si="31"/>
        <v>N/A</v>
      </c>
      <c r="R336" s="21" t="str">
        <f t="shared" si="32"/>
        <v>N/A</v>
      </c>
      <c r="T336" s="21" t="str">
        <f t="shared" si="33"/>
        <v/>
      </c>
      <c r="V336" s="21" t="str">
        <f t="shared" si="34"/>
        <v/>
      </c>
      <c r="X336" s="21" t="str">
        <f t="shared" si="35"/>
        <v/>
      </c>
    </row>
    <row r="337" spans="9:24" x14ac:dyDescent="0.35">
      <c r="I337" s="21" t="str">
        <f t="shared" si="30"/>
        <v/>
      </c>
      <c r="Q337" s="21" t="str">
        <f t="shared" si="31"/>
        <v>N/A</v>
      </c>
      <c r="R337" s="21" t="str">
        <f t="shared" si="32"/>
        <v>N/A</v>
      </c>
      <c r="T337" s="21" t="str">
        <f t="shared" si="33"/>
        <v/>
      </c>
      <c r="V337" s="21" t="str">
        <f t="shared" si="34"/>
        <v/>
      </c>
      <c r="X337" s="21" t="str">
        <f t="shared" si="35"/>
        <v/>
      </c>
    </row>
    <row r="338" spans="9:24" x14ac:dyDescent="0.35">
      <c r="I338" s="21" t="str">
        <f t="shared" si="30"/>
        <v/>
      </c>
      <c r="Q338" s="21" t="str">
        <f t="shared" si="31"/>
        <v>N/A</v>
      </c>
      <c r="R338" s="21" t="str">
        <f t="shared" si="32"/>
        <v>N/A</v>
      </c>
      <c r="T338" s="21" t="str">
        <f t="shared" si="33"/>
        <v/>
      </c>
      <c r="V338" s="21" t="str">
        <f t="shared" si="34"/>
        <v/>
      </c>
      <c r="X338" s="21" t="str">
        <f t="shared" si="35"/>
        <v/>
      </c>
    </row>
    <row r="339" spans="9:24" x14ac:dyDescent="0.35">
      <c r="I339" s="21" t="str">
        <f t="shared" si="30"/>
        <v/>
      </c>
      <c r="Q339" s="21" t="str">
        <f t="shared" si="31"/>
        <v>N/A</v>
      </c>
      <c r="R339" s="21" t="str">
        <f t="shared" si="32"/>
        <v>N/A</v>
      </c>
      <c r="T339" s="21" t="str">
        <f t="shared" si="33"/>
        <v/>
      </c>
      <c r="V339" s="21" t="str">
        <f t="shared" si="34"/>
        <v/>
      </c>
      <c r="X339" s="21" t="str">
        <f t="shared" si="35"/>
        <v/>
      </c>
    </row>
    <row r="340" spans="9:24" x14ac:dyDescent="0.35">
      <c r="I340" s="21" t="str">
        <f t="shared" si="30"/>
        <v/>
      </c>
      <c r="Q340" s="21" t="str">
        <f t="shared" si="31"/>
        <v>N/A</v>
      </c>
      <c r="R340" s="21" t="str">
        <f t="shared" si="32"/>
        <v>N/A</v>
      </c>
      <c r="T340" s="21" t="str">
        <f t="shared" si="33"/>
        <v/>
      </c>
      <c r="V340" s="21" t="str">
        <f t="shared" si="34"/>
        <v/>
      </c>
      <c r="X340" s="21" t="str">
        <f t="shared" si="35"/>
        <v/>
      </c>
    </row>
    <row r="341" spans="9:24" x14ac:dyDescent="0.35">
      <c r="I341" s="21" t="str">
        <f t="shared" si="30"/>
        <v/>
      </c>
      <c r="Q341" s="21" t="str">
        <f t="shared" si="31"/>
        <v>N/A</v>
      </c>
      <c r="R341" s="21" t="str">
        <f t="shared" si="32"/>
        <v>N/A</v>
      </c>
      <c r="T341" s="21" t="str">
        <f t="shared" si="33"/>
        <v/>
      </c>
      <c r="V341" s="21" t="str">
        <f t="shared" si="34"/>
        <v/>
      </c>
      <c r="X341" s="21" t="str">
        <f t="shared" si="35"/>
        <v/>
      </c>
    </row>
    <row r="342" spans="9:24" x14ac:dyDescent="0.35">
      <c r="I342" s="21" t="str">
        <f t="shared" si="30"/>
        <v/>
      </c>
      <c r="Q342" s="21" t="str">
        <f t="shared" si="31"/>
        <v>N/A</v>
      </c>
      <c r="R342" s="21" t="str">
        <f t="shared" si="32"/>
        <v>N/A</v>
      </c>
      <c r="T342" s="21" t="str">
        <f t="shared" si="33"/>
        <v/>
      </c>
      <c r="V342" s="21" t="str">
        <f t="shared" si="34"/>
        <v/>
      </c>
      <c r="X342" s="21" t="str">
        <f t="shared" si="35"/>
        <v/>
      </c>
    </row>
    <row r="343" spans="9:24" x14ac:dyDescent="0.35">
      <c r="I343" s="21" t="str">
        <f t="shared" si="30"/>
        <v/>
      </c>
      <c r="Q343" s="21" t="str">
        <f t="shared" si="31"/>
        <v>N/A</v>
      </c>
      <c r="R343" s="21" t="str">
        <f t="shared" si="32"/>
        <v>N/A</v>
      </c>
      <c r="T343" s="21" t="str">
        <f t="shared" si="33"/>
        <v/>
      </c>
      <c r="V343" s="21" t="str">
        <f t="shared" si="34"/>
        <v/>
      </c>
      <c r="X343" s="21" t="str">
        <f t="shared" si="35"/>
        <v/>
      </c>
    </row>
    <row r="344" spans="9:24" x14ac:dyDescent="0.35">
      <c r="I344" s="21" t="str">
        <f t="shared" si="30"/>
        <v/>
      </c>
      <c r="Q344" s="21" t="str">
        <f t="shared" si="31"/>
        <v>N/A</v>
      </c>
      <c r="R344" s="21" t="str">
        <f t="shared" si="32"/>
        <v>N/A</v>
      </c>
      <c r="T344" s="21" t="str">
        <f t="shared" si="33"/>
        <v/>
      </c>
      <c r="V344" s="21" t="str">
        <f t="shared" si="34"/>
        <v/>
      </c>
      <c r="X344" s="21" t="str">
        <f t="shared" si="35"/>
        <v/>
      </c>
    </row>
    <row r="345" spans="9:24" x14ac:dyDescent="0.35">
      <c r="I345" s="21" t="str">
        <f t="shared" si="30"/>
        <v/>
      </c>
      <c r="Q345" s="21" t="str">
        <f t="shared" si="31"/>
        <v>N/A</v>
      </c>
      <c r="R345" s="21" t="str">
        <f t="shared" si="32"/>
        <v>N/A</v>
      </c>
      <c r="T345" s="21" t="str">
        <f t="shared" si="33"/>
        <v/>
      </c>
      <c r="V345" s="21" t="str">
        <f t="shared" si="34"/>
        <v/>
      </c>
      <c r="X345" s="21" t="str">
        <f t="shared" si="35"/>
        <v/>
      </c>
    </row>
    <row r="346" spans="9:24" x14ac:dyDescent="0.35">
      <c r="I346" s="21" t="str">
        <f t="shared" si="30"/>
        <v/>
      </c>
      <c r="Q346" s="21" t="str">
        <f t="shared" si="31"/>
        <v>N/A</v>
      </c>
      <c r="R346" s="21" t="str">
        <f t="shared" si="32"/>
        <v>N/A</v>
      </c>
      <c r="T346" s="21" t="str">
        <f t="shared" si="33"/>
        <v/>
      </c>
      <c r="V346" s="21" t="str">
        <f t="shared" si="34"/>
        <v/>
      </c>
      <c r="X346" s="21" t="str">
        <f t="shared" si="35"/>
        <v/>
      </c>
    </row>
    <row r="347" spans="9:24" x14ac:dyDescent="0.35">
      <c r="I347" s="21" t="str">
        <f t="shared" si="30"/>
        <v/>
      </c>
      <c r="Q347" s="21" t="str">
        <f t="shared" si="31"/>
        <v>N/A</v>
      </c>
      <c r="R347" s="21" t="str">
        <f t="shared" si="32"/>
        <v>N/A</v>
      </c>
      <c r="T347" s="21" t="str">
        <f t="shared" si="33"/>
        <v/>
      </c>
      <c r="V347" s="21" t="str">
        <f t="shared" si="34"/>
        <v/>
      </c>
      <c r="X347" s="21" t="str">
        <f t="shared" si="35"/>
        <v/>
      </c>
    </row>
    <row r="348" spans="9:24" x14ac:dyDescent="0.35">
      <c r="I348" s="21" t="str">
        <f t="shared" si="30"/>
        <v/>
      </c>
      <c r="Q348" s="21" t="str">
        <f t="shared" si="31"/>
        <v>N/A</v>
      </c>
      <c r="R348" s="21" t="str">
        <f t="shared" si="32"/>
        <v>N/A</v>
      </c>
      <c r="T348" s="21" t="str">
        <f t="shared" si="33"/>
        <v/>
      </c>
      <c r="V348" s="21" t="str">
        <f t="shared" si="34"/>
        <v/>
      </c>
      <c r="X348" s="21" t="str">
        <f t="shared" si="35"/>
        <v/>
      </c>
    </row>
    <row r="349" spans="9:24" x14ac:dyDescent="0.35">
      <c r="I349" s="21" t="str">
        <f t="shared" si="30"/>
        <v/>
      </c>
      <c r="Q349" s="21" t="str">
        <f t="shared" si="31"/>
        <v>N/A</v>
      </c>
      <c r="R349" s="21" t="str">
        <f t="shared" si="32"/>
        <v>N/A</v>
      </c>
      <c r="T349" s="21" t="str">
        <f t="shared" si="33"/>
        <v/>
      </c>
      <c r="V349" s="21" t="str">
        <f t="shared" si="34"/>
        <v/>
      </c>
      <c r="X349" s="21" t="str">
        <f t="shared" si="35"/>
        <v/>
      </c>
    </row>
    <row r="350" spans="9:24" x14ac:dyDescent="0.35">
      <c r="I350" s="21" t="str">
        <f t="shared" si="30"/>
        <v/>
      </c>
      <c r="Q350" s="21" t="str">
        <f t="shared" si="31"/>
        <v>N/A</v>
      </c>
      <c r="R350" s="21" t="str">
        <f t="shared" si="32"/>
        <v>N/A</v>
      </c>
      <c r="T350" s="21" t="str">
        <f t="shared" si="33"/>
        <v/>
      </c>
      <c r="V350" s="21" t="str">
        <f t="shared" si="34"/>
        <v/>
      </c>
      <c r="X350" s="21" t="str">
        <f t="shared" si="35"/>
        <v/>
      </c>
    </row>
    <row r="351" spans="9:24" x14ac:dyDescent="0.35">
      <c r="I351" s="21" t="str">
        <f t="shared" si="30"/>
        <v/>
      </c>
      <c r="Q351" s="21" t="str">
        <f t="shared" si="31"/>
        <v>N/A</v>
      </c>
      <c r="R351" s="21" t="str">
        <f t="shared" si="32"/>
        <v>N/A</v>
      </c>
      <c r="T351" s="21" t="str">
        <f t="shared" si="33"/>
        <v/>
      </c>
      <c r="V351" s="21" t="str">
        <f t="shared" si="34"/>
        <v/>
      </c>
      <c r="X351" s="21" t="str">
        <f t="shared" si="35"/>
        <v/>
      </c>
    </row>
    <row r="352" spans="9:24" x14ac:dyDescent="0.35">
      <c r="I352" s="21" t="str">
        <f t="shared" si="30"/>
        <v/>
      </c>
      <c r="Q352" s="21" t="str">
        <f t="shared" si="31"/>
        <v>N/A</v>
      </c>
      <c r="R352" s="21" t="str">
        <f t="shared" si="32"/>
        <v>N/A</v>
      </c>
      <c r="T352" s="21" t="str">
        <f t="shared" si="33"/>
        <v/>
      </c>
      <c r="V352" s="21" t="str">
        <f t="shared" si="34"/>
        <v/>
      </c>
      <c r="X352" s="21" t="str">
        <f t="shared" si="35"/>
        <v/>
      </c>
    </row>
    <row r="353" spans="9:24" x14ac:dyDescent="0.35">
      <c r="I353" s="21" t="str">
        <f t="shared" si="30"/>
        <v/>
      </c>
      <c r="Q353" s="21" t="str">
        <f t="shared" si="31"/>
        <v>N/A</v>
      </c>
      <c r="R353" s="21" t="str">
        <f t="shared" si="32"/>
        <v>N/A</v>
      </c>
      <c r="T353" s="21" t="str">
        <f t="shared" si="33"/>
        <v/>
      </c>
      <c r="V353" s="21" t="str">
        <f t="shared" si="34"/>
        <v/>
      </c>
      <c r="X353" s="21" t="str">
        <f t="shared" si="35"/>
        <v/>
      </c>
    </row>
    <row r="354" spans="9:24" x14ac:dyDescent="0.35">
      <c r="I354" s="21" t="str">
        <f t="shared" si="30"/>
        <v/>
      </c>
      <c r="Q354" s="21" t="str">
        <f t="shared" si="31"/>
        <v>N/A</v>
      </c>
      <c r="R354" s="21" t="str">
        <f t="shared" si="32"/>
        <v>N/A</v>
      </c>
      <c r="T354" s="21" t="str">
        <f t="shared" si="33"/>
        <v/>
      </c>
      <c r="V354" s="21" t="str">
        <f t="shared" si="34"/>
        <v/>
      </c>
      <c r="X354" s="21" t="str">
        <f t="shared" si="35"/>
        <v/>
      </c>
    </row>
    <row r="355" spans="9:24" x14ac:dyDescent="0.35">
      <c r="I355" s="21" t="str">
        <f t="shared" si="30"/>
        <v/>
      </c>
      <c r="Q355" s="21" t="str">
        <f t="shared" si="31"/>
        <v>N/A</v>
      </c>
      <c r="R355" s="21" t="str">
        <f t="shared" si="32"/>
        <v>N/A</v>
      </c>
      <c r="T355" s="21" t="str">
        <f t="shared" si="33"/>
        <v/>
      </c>
      <c r="V355" s="21" t="str">
        <f t="shared" si="34"/>
        <v/>
      </c>
      <c r="X355" s="21" t="str">
        <f t="shared" si="35"/>
        <v/>
      </c>
    </row>
    <row r="356" spans="9:24" x14ac:dyDescent="0.35">
      <c r="I356" s="21" t="str">
        <f t="shared" si="30"/>
        <v/>
      </c>
      <c r="Q356" s="21" t="str">
        <f t="shared" si="31"/>
        <v>N/A</v>
      </c>
      <c r="R356" s="21" t="str">
        <f t="shared" si="32"/>
        <v>N/A</v>
      </c>
      <c r="T356" s="21" t="str">
        <f t="shared" si="33"/>
        <v/>
      </c>
      <c r="V356" s="21" t="str">
        <f t="shared" si="34"/>
        <v/>
      </c>
      <c r="X356" s="21" t="str">
        <f t="shared" si="35"/>
        <v/>
      </c>
    </row>
    <row r="357" spans="9:24" x14ac:dyDescent="0.35">
      <c r="I357" s="21" t="str">
        <f t="shared" si="30"/>
        <v/>
      </c>
      <c r="Q357" s="21" t="str">
        <f t="shared" si="31"/>
        <v>N/A</v>
      </c>
      <c r="R357" s="21" t="str">
        <f t="shared" si="32"/>
        <v>N/A</v>
      </c>
      <c r="T357" s="21" t="str">
        <f t="shared" si="33"/>
        <v/>
      </c>
      <c r="V357" s="21" t="str">
        <f t="shared" si="34"/>
        <v/>
      </c>
      <c r="X357" s="21" t="str">
        <f t="shared" si="35"/>
        <v/>
      </c>
    </row>
    <row r="358" spans="9:24" x14ac:dyDescent="0.35">
      <c r="I358" s="21" t="str">
        <f t="shared" si="30"/>
        <v/>
      </c>
      <c r="Q358" s="21" t="str">
        <f t="shared" si="31"/>
        <v>N/A</v>
      </c>
      <c r="R358" s="21" t="str">
        <f t="shared" si="32"/>
        <v>N/A</v>
      </c>
      <c r="T358" s="21" t="str">
        <f t="shared" si="33"/>
        <v/>
      </c>
      <c r="V358" s="21" t="str">
        <f t="shared" si="34"/>
        <v/>
      </c>
      <c r="X358" s="21" t="str">
        <f t="shared" si="35"/>
        <v/>
      </c>
    </row>
    <row r="359" spans="9:24" x14ac:dyDescent="0.35">
      <c r="I359" s="21" t="str">
        <f t="shared" si="30"/>
        <v/>
      </c>
      <c r="Q359" s="21" t="str">
        <f t="shared" si="31"/>
        <v>N/A</v>
      </c>
      <c r="R359" s="21" t="str">
        <f t="shared" si="32"/>
        <v>N/A</v>
      </c>
      <c r="T359" s="21" t="str">
        <f t="shared" si="33"/>
        <v/>
      </c>
      <c r="V359" s="21" t="str">
        <f t="shared" si="34"/>
        <v/>
      </c>
      <c r="X359" s="21" t="str">
        <f t="shared" si="35"/>
        <v/>
      </c>
    </row>
    <row r="360" spans="9:24" x14ac:dyDescent="0.35">
      <c r="I360" s="21" t="str">
        <f t="shared" si="30"/>
        <v/>
      </c>
      <c r="Q360" s="21" t="str">
        <f t="shared" si="31"/>
        <v>N/A</v>
      </c>
      <c r="R360" s="21" t="str">
        <f t="shared" si="32"/>
        <v>N/A</v>
      </c>
      <c r="T360" s="21" t="str">
        <f t="shared" si="33"/>
        <v/>
      </c>
      <c r="V360" s="21" t="str">
        <f t="shared" si="34"/>
        <v/>
      </c>
      <c r="X360" s="21" t="str">
        <f t="shared" si="35"/>
        <v/>
      </c>
    </row>
    <row r="361" spans="9:24" x14ac:dyDescent="0.35">
      <c r="I361" s="21" t="str">
        <f t="shared" si="30"/>
        <v/>
      </c>
      <c r="Q361" s="21" t="str">
        <f t="shared" si="31"/>
        <v>N/A</v>
      </c>
      <c r="R361" s="21" t="str">
        <f t="shared" si="32"/>
        <v>N/A</v>
      </c>
      <c r="T361" s="21" t="str">
        <f t="shared" si="33"/>
        <v/>
      </c>
      <c r="V361" s="21" t="str">
        <f t="shared" si="34"/>
        <v/>
      </c>
      <c r="X361" s="21" t="str">
        <f t="shared" si="35"/>
        <v/>
      </c>
    </row>
    <row r="362" spans="9:24" x14ac:dyDescent="0.35">
      <c r="I362" s="21" t="str">
        <f t="shared" si="30"/>
        <v/>
      </c>
      <c r="Q362" s="21" t="str">
        <f t="shared" si="31"/>
        <v>N/A</v>
      </c>
      <c r="R362" s="21" t="str">
        <f t="shared" si="32"/>
        <v>N/A</v>
      </c>
      <c r="T362" s="21" t="str">
        <f t="shared" si="33"/>
        <v/>
      </c>
      <c r="V362" s="21" t="str">
        <f t="shared" si="34"/>
        <v/>
      </c>
      <c r="X362" s="21" t="str">
        <f t="shared" si="35"/>
        <v/>
      </c>
    </row>
    <row r="363" spans="9:24" x14ac:dyDescent="0.35">
      <c r="I363" s="21" t="str">
        <f t="shared" si="30"/>
        <v/>
      </c>
      <c r="Q363" s="21" t="str">
        <f t="shared" si="31"/>
        <v>N/A</v>
      </c>
      <c r="R363" s="21" t="str">
        <f t="shared" si="32"/>
        <v>N/A</v>
      </c>
      <c r="T363" s="21" t="str">
        <f t="shared" si="33"/>
        <v/>
      </c>
      <c r="V363" s="21" t="str">
        <f t="shared" si="34"/>
        <v/>
      </c>
      <c r="X363" s="21" t="str">
        <f t="shared" si="35"/>
        <v/>
      </c>
    </row>
    <row r="364" spans="9:24" x14ac:dyDescent="0.35">
      <c r="I364" s="21" t="str">
        <f t="shared" si="30"/>
        <v/>
      </c>
      <c r="Q364" s="21" t="str">
        <f t="shared" si="31"/>
        <v>N/A</v>
      </c>
      <c r="R364" s="21" t="str">
        <f t="shared" si="32"/>
        <v>N/A</v>
      </c>
      <c r="T364" s="21" t="str">
        <f t="shared" si="33"/>
        <v/>
      </c>
      <c r="V364" s="21" t="str">
        <f t="shared" si="34"/>
        <v/>
      </c>
      <c r="X364" s="21" t="str">
        <f t="shared" si="35"/>
        <v/>
      </c>
    </row>
    <row r="365" spans="9:24" x14ac:dyDescent="0.35">
      <c r="I365" s="21" t="str">
        <f t="shared" si="30"/>
        <v/>
      </c>
      <c r="Q365" s="21" t="str">
        <f t="shared" si="31"/>
        <v>N/A</v>
      </c>
      <c r="R365" s="21" t="str">
        <f t="shared" si="32"/>
        <v>N/A</v>
      </c>
      <c r="T365" s="21" t="str">
        <f t="shared" si="33"/>
        <v/>
      </c>
      <c r="V365" s="21" t="str">
        <f t="shared" si="34"/>
        <v/>
      </c>
      <c r="X365" s="21" t="str">
        <f t="shared" si="35"/>
        <v/>
      </c>
    </row>
    <row r="366" spans="9:24" x14ac:dyDescent="0.35">
      <c r="I366" s="21" t="str">
        <f t="shared" si="30"/>
        <v/>
      </c>
      <c r="Q366" s="21" t="str">
        <f t="shared" si="31"/>
        <v>N/A</v>
      </c>
      <c r="R366" s="21" t="str">
        <f t="shared" si="32"/>
        <v>N/A</v>
      </c>
      <c r="T366" s="21" t="str">
        <f t="shared" si="33"/>
        <v/>
      </c>
      <c r="V366" s="21" t="str">
        <f t="shared" si="34"/>
        <v/>
      </c>
      <c r="X366" s="21" t="str">
        <f t="shared" si="35"/>
        <v/>
      </c>
    </row>
    <row r="367" spans="9:24" x14ac:dyDescent="0.35">
      <c r="I367" s="21" t="str">
        <f t="shared" si="30"/>
        <v/>
      </c>
      <c r="Q367" s="21" t="str">
        <f t="shared" si="31"/>
        <v>N/A</v>
      </c>
      <c r="R367" s="21" t="str">
        <f t="shared" si="32"/>
        <v>N/A</v>
      </c>
      <c r="T367" s="21" t="str">
        <f t="shared" si="33"/>
        <v/>
      </c>
      <c r="V367" s="21" t="str">
        <f t="shared" si="34"/>
        <v/>
      </c>
      <c r="X367" s="21" t="str">
        <f t="shared" si="35"/>
        <v/>
      </c>
    </row>
    <row r="368" spans="9:24" x14ac:dyDescent="0.35">
      <c r="I368" s="21" t="str">
        <f t="shared" si="30"/>
        <v/>
      </c>
      <c r="Q368" s="21" t="str">
        <f t="shared" si="31"/>
        <v>N/A</v>
      </c>
      <c r="R368" s="21" t="str">
        <f t="shared" si="32"/>
        <v>N/A</v>
      </c>
      <c r="T368" s="21" t="str">
        <f t="shared" si="33"/>
        <v/>
      </c>
      <c r="V368" s="21" t="str">
        <f t="shared" si="34"/>
        <v/>
      </c>
      <c r="X368" s="21" t="str">
        <f t="shared" si="35"/>
        <v/>
      </c>
    </row>
    <row r="369" spans="9:24" x14ac:dyDescent="0.35">
      <c r="I369" s="21" t="str">
        <f t="shared" si="30"/>
        <v/>
      </c>
      <c r="Q369" s="21" t="str">
        <f t="shared" si="31"/>
        <v>N/A</v>
      </c>
      <c r="R369" s="21" t="str">
        <f t="shared" si="32"/>
        <v>N/A</v>
      </c>
      <c r="T369" s="21" t="str">
        <f t="shared" si="33"/>
        <v/>
      </c>
      <c r="V369" s="21" t="str">
        <f t="shared" si="34"/>
        <v/>
      </c>
      <c r="X369" s="21" t="str">
        <f t="shared" si="35"/>
        <v/>
      </c>
    </row>
    <row r="370" spans="9:24" x14ac:dyDescent="0.35">
      <c r="I370" s="21" t="str">
        <f t="shared" si="30"/>
        <v/>
      </c>
      <c r="Q370" s="21" t="str">
        <f t="shared" si="31"/>
        <v>N/A</v>
      </c>
      <c r="R370" s="21" t="str">
        <f t="shared" si="32"/>
        <v>N/A</v>
      </c>
      <c r="T370" s="21" t="str">
        <f t="shared" si="33"/>
        <v/>
      </c>
      <c r="V370" s="21" t="str">
        <f t="shared" si="34"/>
        <v/>
      </c>
      <c r="X370" s="21" t="str">
        <f t="shared" si="35"/>
        <v/>
      </c>
    </row>
    <row r="371" spans="9:24" x14ac:dyDescent="0.35">
      <c r="I371" s="21" t="str">
        <f t="shared" si="30"/>
        <v/>
      </c>
      <c r="Q371" s="21" t="str">
        <f t="shared" si="31"/>
        <v>N/A</v>
      </c>
      <c r="R371" s="21" t="str">
        <f t="shared" si="32"/>
        <v>N/A</v>
      </c>
      <c r="T371" s="21" t="str">
        <f t="shared" si="33"/>
        <v/>
      </c>
      <c r="V371" s="21" t="str">
        <f t="shared" si="34"/>
        <v/>
      </c>
      <c r="X371" s="21" t="str">
        <f t="shared" si="35"/>
        <v/>
      </c>
    </row>
    <row r="372" spans="9:24" x14ac:dyDescent="0.35">
      <c r="I372" s="21" t="str">
        <f t="shared" si="30"/>
        <v/>
      </c>
      <c r="Q372" s="21" t="str">
        <f t="shared" si="31"/>
        <v>N/A</v>
      </c>
      <c r="R372" s="21" t="str">
        <f t="shared" si="32"/>
        <v>N/A</v>
      </c>
      <c r="T372" s="21" t="str">
        <f t="shared" si="33"/>
        <v/>
      </c>
      <c r="V372" s="21" t="str">
        <f t="shared" si="34"/>
        <v/>
      </c>
      <c r="X372" s="21" t="str">
        <f t="shared" si="35"/>
        <v/>
      </c>
    </row>
    <row r="373" spans="9:24" x14ac:dyDescent="0.35">
      <c r="I373" s="21" t="str">
        <f t="shared" si="30"/>
        <v/>
      </c>
      <c r="Q373" s="21" t="str">
        <f t="shared" si="31"/>
        <v>N/A</v>
      </c>
      <c r="R373" s="21" t="str">
        <f t="shared" si="32"/>
        <v>N/A</v>
      </c>
      <c r="T373" s="21" t="str">
        <f t="shared" si="33"/>
        <v/>
      </c>
      <c r="V373" s="21" t="str">
        <f t="shared" si="34"/>
        <v/>
      </c>
      <c r="X373" s="21" t="str">
        <f t="shared" si="35"/>
        <v/>
      </c>
    </row>
    <row r="374" spans="9:24" x14ac:dyDescent="0.35">
      <c r="I374" s="21" t="str">
        <f t="shared" si="30"/>
        <v/>
      </c>
      <c r="Q374" s="21" t="str">
        <f t="shared" si="31"/>
        <v>N/A</v>
      </c>
      <c r="R374" s="21" t="str">
        <f t="shared" si="32"/>
        <v>N/A</v>
      </c>
      <c r="T374" s="21" t="str">
        <f t="shared" si="33"/>
        <v/>
      </c>
      <c r="V374" s="21" t="str">
        <f t="shared" si="34"/>
        <v/>
      </c>
      <c r="X374" s="21" t="str">
        <f t="shared" si="35"/>
        <v/>
      </c>
    </row>
    <row r="375" spans="9:24" x14ac:dyDescent="0.35">
      <c r="I375" s="21" t="str">
        <f t="shared" si="30"/>
        <v/>
      </c>
      <c r="Q375" s="21" t="str">
        <f t="shared" si="31"/>
        <v>N/A</v>
      </c>
      <c r="R375" s="21" t="str">
        <f t="shared" si="32"/>
        <v>N/A</v>
      </c>
      <c r="T375" s="21" t="str">
        <f t="shared" si="33"/>
        <v/>
      </c>
      <c r="V375" s="21" t="str">
        <f t="shared" si="34"/>
        <v/>
      </c>
      <c r="X375" s="21" t="str">
        <f t="shared" si="35"/>
        <v/>
      </c>
    </row>
    <row r="376" spans="9:24" x14ac:dyDescent="0.35">
      <c r="I376" s="21" t="str">
        <f t="shared" si="30"/>
        <v/>
      </c>
      <c r="Q376" s="21" t="str">
        <f t="shared" si="31"/>
        <v>N/A</v>
      </c>
      <c r="R376" s="21" t="str">
        <f t="shared" si="32"/>
        <v>N/A</v>
      </c>
      <c r="T376" s="21" t="str">
        <f t="shared" si="33"/>
        <v/>
      </c>
      <c r="V376" s="21" t="str">
        <f t="shared" si="34"/>
        <v/>
      </c>
      <c r="X376" s="21" t="str">
        <f t="shared" si="35"/>
        <v/>
      </c>
    </row>
    <row r="377" spans="9:24" x14ac:dyDescent="0.35">
      <c r="I377" s="21" t="str">
        <f t="shared" si="30"/>
        <v/>
      </c>
      <c r="Q377" s="21" t="str">
        <f t="shared" si="31"/>
        <v>N/A</v>
      </c>
      <c r="R377" s="21" t="str">
        <f t="shared" si="32"/>
        <v>N/A</v>
      </c>
      <c r="T377" s="21" t="str">
        <f t="shared" si="33"/>
        <v/>
      </c>
      <c r="V377" s="21" t="str">
        <f t="shared" si="34"/>
        <v/>
      </c>
      <c r="X377" s="21" t="str">
        <f t="shared" si="35"/>
        <v/>
      </c>
    </row>
    <row r="378" spans="9:24" x14ac:dyDescent="0.35">
      <c r="I378" s="21" t="str">
        <f t="shared" si="30"/>
        <v/>
      </c>
      <c r="Q378" s="21" t="str">
        <f t="shared" si="31"/>
        <v>N/A</v>
      </c>
      <c r="R378" s="21" t="str">
        <f t="shared" si="32"/>
        <v>N/A</v>
      </c>
      <c r="T378" s="21" t="str">
        <f t="shared" si="33"/>
        <v/>
      </c>
      <c r="V378" s="21" t="str">
        <f t="shared" si="34"/>
        <v/>
      </c>
      <c r="X378" s="21" t="str">
        <f t="shared" si="35"/>
        <v/>
      </c>
    </row>
    <row r="379" spans="9:24" x14ac:dyDescent="0.35">
      <c r="I379" s="21" t="str">
        <f t="shared" si="30"/>
        <v/>
      </c>
      <c r="Q379" s="21" t="str">
        <f t="shared" si="31"/>
        <v>N/A</v>
      </c>
      <c r="R379" s="21" t="str">
        <f t="shared" si="32"/>
        <v>N/A</v>
      </c>
      <c r="T379" s="21" t="str">
        <f t="shared" si="33"/>
        <v/>
      </c>
      <c r="V379" s="21" t="str">
        <f t="shared" si="34"/>
        <v/>
      </c>
      <c r="X379" s="21" t="str">
        <f t="shared" si="35"/>
        <v/>
      </c>
    </row>
    <row r="380" spans="9:24" x14ac:dyDescent="0.35">
      <c r="I380" s="21" t="str">
        <f t="shared" si="30"/>
        <v/>
      </c>
      <c r="Q380" s="21" t="str">
        <f t="shared" si="31"/>
        <v>N/A</v>
      </c>
      <c r="R380" s="21" t="str">
        <f t="shared" si="32"/>
        <v>N/A</v>
      </c>
      <c r="T380" s="21" t="str">
        <f t="shared" si="33"/>
        <v/>
      </c>
      <c r="V380" s="21" t="str">
        <f t="shared" si="34"/>
        <v/>
      </c>
      <c r="X380" s="21" t="str">
        <f t="shared" si="35"/>
        <v/>
      </c>
    </row>
    <row r="381" spans="9:24" x14ac:dyDescent="0.35">
      <c r="I381" s="21" t="str">
        <f t="shared" si="30"/>
        <v/>
      </c>
      <c r="Q381" s="21" t="str">
        <f t="shared" si="31"/>
        <v>N/A</v>
      </c>
      <c r="R381" s="21" t="str">
        <f t="shared" si="32"/>
        <v>N/A</v>
      </c>
      <c r="T381" s="21" t="str">
        <f t="shared" si="33"/>
        <v/>
      </c>
      <c r="V381" s="21" t="str">
        <f t="shared" si="34"/>
        <v/>
      </c>
      <c r="X381" s="21" t="str">
        <f t="shared" si="35"/>
        <v/>
      </c>
    </row>
    <row r="382" spans="9:24" x14ac:dyDescent="0.35">
      <c r="I382" s="21" t="str">
        <f t="shared" si="30"/>
        <v/>
      </c>
      <c r="Q382" s="21" t="str">
        <f t="shared" si="31"/>
        <v>N/A</v>
      </c>
      <c r="R382" s="21" t="str">
        <f t="shared" si="32"/>
        <v>N/A</v>
      </c>
      <c r="T382" s="21" t="str">
        <f t="shared" si="33"/>
        <v/>
      </c>
      <c r="V382" s="21" t="str">
        <f t="shared" si="34"/>
        <v/>
      </c>
      <c r="X382" s="21" t="str">
        <f t="shared" si="35"/>
        <v/>
      </c>
    </row>
    <row r="383" spans="9:24" x14ac:dyDescent="0.35">
      <c r="I383" s="21" t="str">
        <f t="shared" si="30"/>
        <v/>
      </c>
      <c r="Q383" s="21" t="str">
        <f t="shared" si="31"/>
        <v>N/A</v>
      </c>
      <c r="R383" s="21" t="str">
        <f t="shared" si="32"/>
        <v>N/A</v>
      </c>
      <c r="T383" s="21" t="str">
        <f t="shared" si="33"/>
        <v/>
      </c>
      <c r="V383" s="21" t="str">
        <f t="shared" si="34"/>
        <v/>
      </c>
      <c r="X383" s="21" t="str">
        <f t="shared" si="35"/>
        <v/>
      </c>
    </row>
    <row r="384" spans="9:24" x14ac:dyDescent="0.35">
      <c r="I384" s="21" t="str">
        <f t="shared" si="30"/>
        <v/>
      </c>
      <c r="Q384" s="21" t="str">
        <f t="shared" si="31"/>
        <v>N/A</v>
      </c>
      <c r="R384" s="21" t="str">
        <f t="shared" si="32"/>
        <v>N/A</v>
      </c>
      <c r="T384" s="21" t="str">
        <f t="shared" si="33"/>
        <v/>
      </c>
      <c r="V384" s="21" t="str">
        <f t="shared" si="34"/>
        <v/>
      </c>
      <c r="X384" s="21" t="str">
        <f t="shared" si="35"/>
        <v/>
      </c>
    </row>
    <row r="385" spans="9:24" x14ac:dyDescent="0.35">
      <c r="I385" s="21" t="str">
        <f t="shared" si="30"/>
        <v/>
      </c>
      <c r="Q385" s="21" t="str">
        <f t="shared" si="31"/>
        <v>N/A</v>
      </c>
      <c r="R385" s="21" t="str">
        <f t="shared" si="32"/>
        <v>N/A</v>
      </c>
      <c r="T385" s="21" t="str">
        <f t="shared" si="33"/>
        <v/>
      </c>
      <c r="V385" s="21" t="str">
        <f t="shared" si="34"/>
        <v/>
      </c>
      <c r="X385" s="21" t="str">
        <f t="shared" si="35"/>
        <v/>
      </c>
    </row>
    <row r="386" spans="9:24" x14ac:dyDescent="0.35">
      <c r="I386" s="21" t="str">
        <f t="shared" si="30"/>
        <v/>
      </c>
      <c r="Q386" s="21" t="str">
        <f t="shared" si="31"/>
        <v>N/A</v>
      </c>
      <c r="R386" s="21" t="str">
        <f t="shared" si="32"/>
        <v>N/A</v>
      </c>
      <c r="T386" s="21" t="str">
        <f t="shared" si="33"/>
        <v/>
      </c>
      <c r="V386" s="21" t="str">
        <f t="shared" si="34"/>
        <v/>
      </c>
      <c r="X386" s="21" t="str">
        <f t="shared" si="35"/>
        <v/>
      </c>
    </row>
    <row r="387" spans="9:24" x14ac:dyDescent="0.35">
      <c r="I387" s="21" t="str">
        <f t="shared" si="30"/>
        <v/>
      </c>
      <c r="Q387" s="21" t="str">
        <f t="shared" si="31"/>
        <v>N/A</v>
      </c>
      <c r="R387" s="21" t="str">
        <f t="shared" si="32"/>
        <v>N/A</v>
      </c>
      <c r="T387" s="21" t="str">
        <f t="shared" si="33"/>
        <v/>
      </c>
      <c r="V387" s="21" t="str">
        <f t="shared" si="34"/>
        <v/>
      </c>
      <c r="X387" s="21" t="str">
        <f t="shared" si="35"/>
        <v/>
      </c>
    </row>
    <row r="388" spans="9:24" x14ac:dyDescent="0.35">
      <c r="I388" s="21" t="str">
        <f t="shared" si="30"/>
        <v/>
      </c>
      <c r="Q388" s="21" t="str">
        <f t="shared" si="31"/>
        <v>N/A</v>
      </c>
      <c r="R388" s="21" t="str">
        <f t="shared" si="32"/>
        <v>N/A</v>
      </c>
      <c r="T388" s="21" t="str">
        <f t="shared" si="33"/>
        <v/>
      </c>
      <c r="V388" s="21" t="str">
        <f t="shared" si="34"/>
        <v/>
      </c>
      <c r="X388" s="21" t="str">
        <f t="shared" si="35"/>
        <v/>
      </c>
    </row>
    <row r="389" spans="9:24" x14ac:dyDescent="0.35">
      <c r="I389" s="21" t="str">
        <f t="shared" si="30"/>
        <v/>
      </c>
      <c r="Q389" s="21" t="str">
        <f t="shared" si="31"/>
        <v>N/A</v>
      </c>
      <c r="R389" s="21" t="str">
        <f t="shared" si="32"/>
        <v>N/A</v>
      </c>
      <c r="T389" s="21" t="str">
        <f t="shared" si="33"/>
        <v/>
      </c>
      <c r="V389" s="21" t="str">
        <f t="shared" si="34"/>
        <v/>
      </c>
      <c r="X389" s="21" t="str">
        <f t="shared" si="35"/>
        <v/>
      </c>
    </row>
    <row r="390" spans="9:24" x14ac:dyDescent="0.35">
      <c r="I390" s="21" t="str">
        <f t="shared" ref="I390:I453" si="36">IF(OR(G390&lt;&gt;"",H390&lt;&gt;""),G390-H390,"")</f>
        <v/>
      </c>
      <c r="Q390" s="21" t="str">
        <f t="shared" ref="Q390:Q453" si="37">IFERROR(IF(K390="","N/A",IF(ISNUMBER(MATCH(K390,OLD_PROJECTS,0)),"Yes","No")),"N/A")</f>
        <v>N/A</v>
      </c>
      <c r="R390" s="21" t="str">
        <f t="shared" ref="R390:R453" si="38">IFERROR(IF(K390="","N/A",IF(Q390="Yes","No","Yes")),"N/A")</f>
        <v>N/A</v>
      </c>
      <c r="T390" s="21" t="str">
        <f t="shared" ref="T390:T453" si="39">IFERROR(IF(S390="","",IF(S390="SHARED","Yes",IF(AND(INDEX(COA_OVERHEAD,MATCH(D390,COA_LEDGER,0))="Y",S390="OLD"),"Yes",IF(AND(INDEX(COA_CLASS,MATCH(D390,COA_LEDGER,0))="Income",S390="NEW",Q390="Yes"),"Yes","No")))),"Check Ledger")</f>
        <v/>
      </c>
      <c r="V390" s="21" t="str">
        <f t="shared" ref="V390:V453" si="40">IFERROR(IF(D390="","",IF(INDEX(COA_COMPANY,MATCH(D390,COA_LEDGER,0))="New Company","NEW",IF(INDEX(COA_COMPANY,MATCH(D390,COA_LEDGER,0))="Old Company","OLD",IF(Q390="Yes","OLD","NEW")))),"Check Ledger")</f>
        <v/>
      </c>
      <c r="X390" s="21" t="str">
        <f t="shared" ref="X390:X453" si="41">IFERROR(IF(B390="","",IF(ROUND(SUMIF(TXN_VNO,B390,TXN_DEBIT)-SUMIF(TXN_VNO,B390,TXN_CREDIT),2)=0,"Yes","No")),"")</f>
        <v/>
      </c>
    </row>
    <row r="391" spans="9:24" x14ac:dyDescent="0.35">
      <c r="I391" s="21" t="str">
        <f t="shared" si="36"/>
        <v/>
      </c>
      <c r="Q391" s="21" t="str">
        <f t="shared" si="37"/>
        <v>N/A</v>
      </c>
      <c r="R391" s="21" t="str">
        <f t="shared" si="38"/>
        <v>N/A</v>
      </c>
      <c r="T391" s="21" t="str">
        <f t="shared" si="39"/>
        <v/>
      </c>
      <c r="V391" s="21" t="str">
        <f t="shared" si="40"/>
        <v/>
      </c>
      <c r="X391" s="21" t="str">
        <f t="shared" si="41"/>
        <v/>
      </c>
    </row>
    <row r="392" spans="9:24" x14ac:dyDescent="0.35">
      <c r="I392" s="21" t="str">
        <f t="shared" si="36"/>
        <v/>
      </c>
      <c r="Q392" s="21" t="str">
        <f t="shared" si="37"/>
        <v>N/A</v>
      </c>
      <c r="R392" s="21" t="str">
        <f t="shared" si="38"/>
        <v>N/A</v>
      </c>
      <c r="T392" s="21" t="str">
        <f t="shared" si="39"/>
        <v/>
      </c>
      <c r="V392" s="21" t="str">
        <f t="shared" si="40"/>
        <v/>
      </c>
      <c r="X392" s="21" t="str">
        <f t="shared" si="41"/>
        <v/>
      </c>
    </row>
    <row r="393" spans="9:24" x14ac:dyDescent="0.35">
      <c r="I393" s="21" t="str">
        <f t="shared" si="36"/>
        <v/>
      </c>
      <c r="Q393" s="21" t="str">
        <f t="shared" si="37"/>
        <v>N/A</v>
      </c>
      <c r="R393" s="21" t="str">
        <f t="shared" si="38"/>
        <v>N/A</v>
      </c>
      <c r="T393" s="21" t="str">
        <f t="shared" si="39"/>
        <v/>
      </c>
      <c r="V393" s="21" t="str">
        <f t="shared" si="40"/>
        <v/>
      </c>
      <c r="X393" s="21" t="str">
        <f t="shared" si="41"/>
        <v/>
      </c>
    </row>
    <row r="394" spans="9:24" x14ac:dyDescent="0.35">
      <c r="I394" s="21" t="str">
        <f t="shared" si="36"/>
        <v/>
      </c>
      <c r="Q394" s="21" t="str">
        <f t="shared" si="37"/>
        <v>N/A</v>
      </c>
      <c r="R394" s="21" t="str">
        <f t="shared" si="38"/>
        <v>N/A</v>
      </c>
      <c r="T394" s="21" t="str">
        <f t="shared" si="39"/>
        <v/>
      </c>
      <c r="V394" s="21" t="str">
        <f t="shared" si="40"/>
        <v/>
      </c>
      <c r="X394" s="21" t="str">
        <f t="shared" si="41"/>
        <v/>
      </c>
    </row>
    <row r="395" spans="9:24" x14ac:dyDescent="0.35">
      <c r="I395" s="21" t="str">
        <f t="shared" si="36"/>
        <v/>
      </c>
      <c r="Q395" s="21" t="str">
        <f t="shared" si="37"/>
        <v>N/A</v>
      </c>
      <c r="R395" s="21" t="str">
        <f t="shared" si="38"/>
        <v>N/A</v>
      </c>
      <c r="T395" s="21" t="str">
        <f t="shared" si="39"/>
        <v/>
      </c>
      <c r="V395" s="21" t="str">
        <f t="shared" si="40"/>
        <v/>
      </c>
      <c r="X395" s="21" t="str">
        <f t="shared" si="41"/>
        <v/>
      </c>
    </row>
    <row r="396" spans="9:24" x14ac:dyDescent="0.35">
      <c r="I396" s="21" t="str">
        <f t="shared" si="36"/>
        <v/>
      </c>
      <c r="Q396" s="21" t="str">
        <f t="shared" si="37"/>
        <v>N/A</v>
      </c>
      <c r="R396" s="21" t="str">
        <f t="shared" si="38"/>
        <v>N/A</v>
      </c>
      <c r="T396" s="21" t="str">
        <f t="shared" si="39"/>
        <v/>
      </c>
      <c r="V396" s="21" t="str">
        <f t="shared" si="40"/>
        <v/>
      </c>
      <c r="X396" s="21" t="str">
        <f t="shared" si="41"/>
        <v/>
      </c>
    </row>
    <row r="397" spans="9:24" x14ac:dyDescent="0.35">
      <c r="I397" s="21" t="str">
        <f t="shared" si="36"/>
        <v/>
      </c>
      <c r="Q397" s="21" t="str">
        <f t="shared" si="37"/>
        <v>N/A</v>
      </c>
      <c r="R397" s="21" t="str">
        <f t="shared" si="38"/>
        <v>N/A</v>
      </c>
      <c r="T397" s="21" t="str">
        <f t="shared" si="39"/>
        <v/>
      </c>
      <c r="V397" s="21" t="str">
        <f t="shared" si="40"/>
        <v/>
      </c>
      <c r="X397" s="21" t="str">
        <f t="shared" si="41"/>
        <v/>
      </c>
    </row>
    <row r="398" spans="9:24" x14ac:dyDescent="0.35">
      <c r="I398" s="21" t="str">
        <f t="shared" si="36"/>
        <v/>
      </c>
      <c r="Q398" s="21" t="str">
        <f t="shared" si="37"/>
        <v>N/A</v>
      </c>
      <c r="R398" s="21" t="str">
        <f t="shared" si="38"/>
        <v>N/A</v>
      </c>
      <c r="T398" s="21" t="str">
        <f t="shared" si="39"/>
        <v/>
      </c>
      <c r="V398" s="21" t="str">
        <f t="shared" si="40"/>
        <v/>
      </c>
      <c r="X398" s="21" t="str">
        <f t="shared" si="41"/>
        <v/>
      </c>
    </row>
    <row r="399" spans="9:24" x14ac:dyDescent="0.35">
      <c r="I399" s="21" t="str">
        <f t="shared" si="36"/>
        <v/>
      </c>
      <c r="Q399" s="21" t="str">
        <f t="shared" si="37"/>
        <v>N/A</v>
      </c>
      <c r="R399" s="21" t="str">
        <f t="shared" si="38"/>
        <v>N/A</v>
      </c>
      <c r="T399" s="21" t="str">
        <f t="shared" si="39"/>
        <v/>
      </c>
      <c r="V399" s="21" t="str">
        <f t="shared" si="40"/>
        <v/>
      </c>
      <c r="X399" s="21" t="str">
        <f t="shared" si="41"/>
        <v/>
      </c>
    </row>
    <row r="400" spans="9:24" x14ac:dyDescent="0.35">
      <c r="I400" s="21" t="str">
        <f t="shared" si="36"/>
        <v/>
      </c>
      <c r="Q400" s="21" t="str">
        <f t="shared" si="37"/>
        <v>N/A</v>
      </c>
      <c r="R400" s="21" t="str">
        <f t="shared" si="38"/>
        <v>N/A</v>
      </c>
      <c r="T400" s="21" t="str">
        <f t="shared" si="39"/>
        <v/>
      </c>
      <c r="V400" s="21" t="str">
        <f t="shared" si="40"/>
        <v/>
      </c>
      <c r="X400" s="21" t="str">
        <f t="shared" si="41"/>
        <v/>
      </c>
    </row>
    <row r="401" spans="9:24" x14ac:dyDescent="0.35">
      <c r="I401" s="21" t="str">
        <f t="shared" si="36"/>
        <v/>
      </c>
      <c r="Q401" s="21" t="str">
        <f t="shared" si="37"/>
        <v>N/A</v>
      </c>
      <c r="R401" s="21" t="str">
        <f t="shared" si="38"/>
        <v>N/A</v>
      </c>
      <c r="T401" s="21" t="str">
        <f t="shared" si="39"/>
        <v/>
      </c>
      <c r="V401" s="21" t="str">
        <f t="shared" si="40"/>
        <v/>
      </c>
      <c r="X401" s="21" t="str">
        <f t="shared" si="41"/>
        <v/>
      </c>
    </row>
    <row r="402" spans="9:24" x14ac:dyDescent="0.35">
      <c r="I402" s="21" t="str">
        <f t="shared" si="36"/>
        <v/>
      </c>
      <c r="Q402" s="21" t="str">
        <f t="shared" si="37"/>
        <v>N/A</v>
      </c>
      <c r="R402" s="21" t="str">
        <f t="shared" si="38"/>
        <v>N/A</v>
      </c>
      <c r="T402" s="21" t="str">
        <f t="shared" si="39"/>
        <v/>
      </c>
      <c r="V402" s="21" t="str">
        <f t="shared" si="40"/>
        <v/>
      </c>
      <c r="X402" s="21" t="str">
        <f t="shared" si="41"/>
        <v/>
      </c>
    </row>
    <row r="403" spans="9:24" x14ac:dyDescent="0.35">
      <c r="I403" s="21" t="str">
        <f t="shared" si="36"/>
        <v/>
      </c>
      <c r="Q403" s="21" t="str">
        <f t="shared" si="37"/>
        <v>N/A</v>
      </c>
      <c r="R403" s="21" t="str">
        <f t="shared" si="38"/>
        <v>N/A</v>
      </c>
      <c r="T403" s="21" t="str">
        <f t="shared" si="39"/>
        <v/>
      </c>
      <c r="V403" s="21" t="str">
        <f t="shared" si="40"/>
        <v/>
      </c>
      <c r="X403" s="21" t="str">
        <f t="shared" si="41"/>
        <v/>
      </c>
    </row>
    <row r="404" spans="9:24" x14ac:dyDescent="0.35">
      <c r="I404" s="21" t="str">
        <f t="shared" si="36"/>
        <v/>
      </c>
      <c r="Q404" s="21" t="str">
        <f t="shared" si="37"/>
        <v>N/A</v>
      </c>
      <c r="R404" s="21" t="str">
        <f t="shared" si="38"/>
        <v>N/A</v>
      </c>
      <c r="T404" s="21" t="str">
        <f t="shared" si="39"/>
        <v/>
      </c>
      <c r="V404" s="21" t="str">
        <f t="shared" si="40"/>
        <v/>
      </c>
      <c r="X404" s="21" t="str">
        <f t="shared" si="41"/>
        <v/>
      </c>
    </row>
    <row r="405" spans="9:24" x14ac:dyDescent="0.35">
      <c r="I405" s="21" t="str">
        <f t="shared" si="36"/>
        <v/>
      </c>
      <c r="Q405" s="21" t="str">
        <f t="shared" si="37"/>
        <v>N/A</v>
      </c>
      <c r="R405" s="21" t="str">
        <f t="shared" si="38"/>
        <v>N/A</v>
      </c>
      <c r="T405" s="21" t="str">
        <f t="shared" si="39"/>
        <v/>
      </c>
      <c r="V405" s="21" t="str">
        <f t="shared" si="40"/>
        <v/>
      </c>
      <c r="X405" s="21" t="str">
        <f t="shared" si="41"/>
        <v/>
      </c>
    </row>
    <row r="406" spans="9:24" x14ac:dyDescent="0.35">
      <c r="I406" s="21" t="str">
        <f t="shared" si="36"/>
        <v/>
      </c>
      <c r="Q406" s="21" t="str">
        <f t="shared" si="37"/>
        <v>N/A</v>
      </c>
      <c r="R406" s="21" t="str">
        <f t="shared" si="38"/>
        <v>N/A</v>
      </c>
      <c r="T406" s="21" t="str">
        <f t="shared" si="39"/>
        <v/>
      </c>
      <c r="V406" s="21" t="str">
        <f t="shared" si="40"/>
        <v/>
      </c>
      <c r="X406" s="21" t="str">
        <f t="shared" si="41"/>
        <v/>
      </c>
    </row>
    <row r="407" spans="9:24" x14ac:dyDescent="0.35">
      <c r="I407" s="21" t="str">
        <f t="shared" si="36"/>
        <v/>
      </c>
      <c r="Q407" s="21" t="str">
        <f t="shared" si="37"/>
        <v>N/A</v>
      </c>
      <c r="R407" s="21" t="str">
        <f t="shared" si="38"/>
        <v>N/A</v>
      </c>
      <c r="T407" s="21" t="str">
        <f t="shared" si="39"/>
        <v/>
      </c>
      <c r="V407" s="21" t="str">
        <f t="shared" si="40"/>
        <v/>
      </c>
      <c r="X407" s="21" t="str">
        <f t="shared" si="41"/>
        <v/>
      </c>
    </row>
    <row r="408" spans="9:24" x14ac:dyDescent="0.35">
      <c r="I408" s="21" t="str">
        <f t="shared" si="36"/>
        <v/>
      </c>
      <c r="Q408" s="21" t="str">
        <f t="shared" si="37"/>
        <v>N/A</v>
      </c>
      <c r="R408" s="21" t="str">
        <f t="shared" si="38"/>
        <v>N/A</v>
      </c>
      <c r="T408" s="21" t="str">
        <f t="shared" si="39"/>
        <v/>
      </c>
      <c r="V408" s="21" t="str">
        <f t="shared" si="40"/>
        <v/>
      </c>
      <c r="X408" s="21" t="str">
        <f t="shared" si="41"/>
        <v/>
      </c>
    </row>
    <row r="409" spans="9:24" x14ac:dyDescent="0.35">
      <c r="I409" s="21" t="str">
        <f t="shared" si="36"/>
        <v/>
      </c>
      <c r="Q409" s="21" t="str">
        <f t="shared" si="37"/>
        <v>N/A</v>
      </c>
      <c r="R409" s="21" t="str">
        <f t="shared" si="38"/>
        <v>N/A</v>
      </c>
      <c r="T409" s="21" t="str">
        <f t="shared" si="39"/>
        <v/>
      </c>
      <c r="V409" s="21" t="str">
        <f t="shared" si="40"/>
        <v/>
      </c>
      <c r="X409" s="21" t="str">
        <f t="shared" si="41"/>
        <v/>
      </c>
    </row>
    <row r="410" spans="9:24" x14ac:dyDescent="0.35">
      <c r="I410" s="21" t="str">
        <f t="shared" si="36"/>
        <v/>
      </c>
      <c r="Q410" s="21" t="str">
        <f t="shared" si="37"/>
        <v>N/A</v>
      </c>
      <c r="R410" s="21" t="str">
        <f t="shared" si="38"/>
        <v>N/A</v>
      </c>
      <c r="T410" s="21" t="str">
        <f t="shared" si="39"/>
        <v/>
      </c>
      <c r="V410" s="21" t="str">
        <f t="shared" si="40"/>
        <v/>
      </c>
      <c r="X410" s="21" t="str">
        <f t="shared" si="41"/>
        <v/>
      </c>
    </row>
    <row r="411" spans="9:24" x14ac:dyDescent="0.35">
      <c r="I411" s="21" t="str">
        <f t="shared" si="36"/>
        <v/>
      </c>
      <c r="Q411" s="21" t="str">
        <f t="shared" si="37"/>
        <v>N/A</v>
      </c>
      <c r="R411" s="21" t="str">
        <f t="shared" si="38"/>
        <v>N/A</v>
      </c>
      <c r="T411" s="21" t="str">
        <f t="shared" si="39"/>
        <v/>
      </c>
      <c r="V411" s="21" t="str">
        <f t="shared" si="40"/>
        <v/>
      </c>
      <c r="X411" s="21" t="str">
        <f t="shared" si="41"/>
        <v/>
      </c>
    </row>
    <row r="412" spans="9:24" x14ac:dyDescent="0.35">
      <c r="I412" s="21" t="str">
        <f t="shared" si="36"/>
        <v/>
      </c>
      <c r="Q412" s="21" t="str">
        <f t="shared" si="37"/>
        <v>N/A</v>
      </c>
      <c r="R412" s="21" t="str">
        <f t="shared" si="38"/>
        <v>N/A</v>
      </c>
      <c r="T412" s="21" t="str">
        <f t="shared" si="39"/>
        <v/>
      </c>
      <c r="V412" s="21" t="str">
        <f t="shared" si="40"/>
        <v/>
      </c>
      <c r="X412" s="21" t="str">
        <f t="shared" si="41"/>
        <v/>
      </c>
    </row>
    <row r="413" spans="9:24" x14ac:dyDescent="0.35">
      <c r="I413" s="21" t="str">
        <f t="shared" si="36"/>
        <v/>
      </c>
      <c r="Q413" s="21" t="str">
        <f t="shared" si="37"/>
        <v>N/A</v>
      </c>
      <c r="R413" s="21" t="str">
        <f t="shared" si="38"/>
        <v>N/A</v>
      </c>
      <c r="T413" s="21" t="str">
        <f t="shared" si="39"/>
        <v/>
      </c>
      <c r="V413" s="21" t="str">
        <f t="shared" si="40"/>
        <v/>
      </c>
      <c r="X413" s="21" t="str">
        <f t="shared" si="41"/>
        <v/>
      </c>
    </row>
    <row r="414" spans="9:24" x14ac:dyDescent="0.35">
      <c r="I414" s="21" t="str">
        <f t="shared" si="36"/>
        <v/>
      </c>
      <c r="Q414" s="21" t="str">
        <f t="shared" si="37"/>
        <v>N/A</v>
      </c>
      <c r="R414" s="21" t="str">
        <f t="shared" si="38"/>
        <v>N/A</v>
      </c>
      <c r="T414" s="21" t="str">
        <f t="shared" si="39"/>
        <v/>
      </c>
      <c r="V414" s="21" t="str">
        <f t="shared" si="40"/>
        <v/>
      </c>
      <c r="X414" s="21" t="str">
        <f t="shared" si="41"/>
        <v/>
      </c>
    </row>
    <row r="415" spans="9:24" x14ac:dyDescent="0.35">
      <c r="I415" s="21" t="str">
        <f t="shared" si="36"/>
        <v/>
      </c>
      <c r="Q415" s="21" t="str">
        <f t="shared" si="37"/>
        <v>N/A</v>
      </c>
      <c r="R415" s="21" t="str">
        <f t="shared" si="38"/>
        <v>N/A</v>
      </c>
      <c r="T415" s="21" t="str">
        <f t="shared" si="39"/>
        <v/>
      </c>
      <c r="V415" s="21" t="str">
        <f t="shared" si="40"/>
        <v/>
      </c>
      <c r="X415" s="21" t="str">
        <f t="shared" si="41"/>
        <v/>
      </c>
    </row>
    <row r="416" spans="9:24" x14ac:dyDescent="0.35">
      <c r="I416" s="21" t="str">
        <f t="shared" si="36"/>
        <v/>
      </c>
      <c r="Q416" s="21" t="str">
        <f t="shared" si="37"/>
        <v>N/A</v>
      </c>
      <c r="R416" s="21" t="str">
        <f t="shared" si="38"/>
        <v>N/A</v>
      </c>
      <c r="T416" s="21" t="str">
        <f t="shared" si="39"/>
        <v/>
      </c>
      <c r="V416" s="21" t="str">
        <f t="shared" si="40"/>
        <v/>
      </c>
      <c r="X416" s="21" t="str">
        <f t="shared" si="41"/>
        <v/>
      </c>
    </row>
    <row r="417" spans="9:24" x14ac:dyDescent="0.35">
      <c r="I417" s="21" t="str">
        <f t="shared" si="36"/>
        <v/>
      </c>
      <c r="Q417" s="21" t="str">
        <f t="shared" si="37"/>
        <v>N/A</v>
      </c>
      <c r="R417" s="21" t="str">
        <f t="shared" si="38"/>
        <v>N/A</v>
      </c>
      <c r="T417" s="21" t="str">
        <f t="shared" si="39"/>
        <v/>
      </c>
      <c r="V417" s="21" t="str">
        <f t="shared" si="40"/>
        <v/>
      </c>
      <c r="X417" s="21" t="str">
        <f t="shared" si="41"/>
        <v/>
      </c>
    </row>
    <row r="418" spans="9:24" x14ac:dyDescent="0.35">
      <c r="I418" s="21" t="str">
        <f t="shared" si="36"/>
        <v/>
      </c>
      <c r="Q418" s="21" t="str">
        <f t="shared" si="37"/>
        <v>N/A</v>
      </c>
      <c r="R418" s="21" t="str">
        <f t="shared" si="38"/>
        <v>N/A</v>
      </c>
      <c r="T418" s="21" t="str">
        <f t="shared" si="39"/>
        <v/>
      </c>
      <c r="V418" s="21" t="str">
        <f t="shared" si="40"/>
        <v/>
      </c>
      <c r="X418" s="21" t="str">
        <f t="shared" si="41"/>
        <v/>
      </c>
    </row>
    <row r="419" spans="9:24" x14ac:dyDescent="0.35">
      <c r="I419" s="21" t="str">
        <f t="shared" si="36"/>
        <v/>
      </c>
      <c r="Q419" s="21" t="str">
        <f t="shared" si="37"/>
        <v>N/A</v>
      </c>
      <c r="R419" s="21" t="str">
        <f t="shared" si="38"/>
        <v>N/A</v>
      </c>
      <c r="T419" s="21" t="str">
        <f t="shared" si="39"/>
        <v/>
      </c>
      <c r="V419" s="21" t="str">
        <f t="shared" si="40"/>
        <v/>
      </c>
      <c r="X419" s="21" t="str">
        <f t="shared" si="41"/>
        <v/>
      </c>
    </row>
    <row r="420" spans="9:24" x14ac:dyDescent="0.35">
      <c r="I420" s="21" t="str">
        <f t="shared" si="36"/>
        <v/>
      </c>
      <c r="Q420" s="21" t="str">
        <f t="shared" si="37"/>
        <v>N/A</v>
      </c>
      <c r="R420" s="21" t="str">
        <f t="shared" si="38"/>
        <v>N/A</v>
      </c>
      <c r="T420" s="21" t="str">
        <f t="shared" si="39"/>
        <v/>
      </c>
      <c r="V420" s="21" t="str">
        <f t="shared" si="40"/>
        <v/>
      </c>
      <c r="X420" s="21" t="str">
        <f t="shared" si="41"/>
        <v/>
      </c>
    </row>
    <row r="421" spans="9:24" x14ac:dyDescent="0.35">
      <c r="I421" s="21" t="str">
        <f t="shared" si="36"/>
        <v/>
      </c>
      <c r="Q421" s="21" t="str">
        <f t="shared" si="37"/>
        <v>N/A</v>
      </c>
      <c r="R421" s="21" t="str">
        <f t="shared" si="38"/>
        <v>N/A</v>
      </c>
      <c r="T421" s="21" t="str">
        <f t="shared" si="39"/>
        <v/>
      </c>
      <c r="V421" s="21" t="str">
        <f t="shared" si="40"/>
        <v/>
      </c>
      <c r="X421" s="21" t="str">
        <f t="shared" si="41"/>
        <v/>
      </c>
    </row>
    <row r="422" spans="9:24" x14ac:dyDescent="0.35">
      <c r="I422" s="21" t="str">
        <f t="shared" si="36"/>
        <v/>
      </c>
      <c r="Q422" s="21" t="str">
        <f t="shared" si="37"/>
        <v>N/A</v>
      </c>
      <c r="R422" s="21" t="str">
        <f t="shared" si="38"/>
        <v>N/A</v>
      </c>
      <c r="T422" s="21" t="str">
        <f t="shared" si="39"/>
        <v/>
      </c>
      <c r="V422" s="21" t="str">
        <f t="shared" si="40"/>
        <v/>
      </c>
      <c r="X422" s="21" t="str">
        <f t="shared" si="41"/>
        <v/>
      </c>
    </row>
    <row r="423" spans="9:24" x14ac:dyDescent="0.35">
      <c r="I423" s="21" t="str">
        <f t="shared" si="36"/>
        <v/>
      </c>
      <c r="Q423" s="21" t="str">
        <f t="shared" si="37"/>
        <v>N/A</v>
      </c>
      <c r="R423" s="21" t="str">
        <f t="shared" si="38"/>
        <v>N/A</v>
      </c>
      <c r="T423" s="21" t="str">
        <f t="shared" si="39"/>
        <v/>
      </c>
      <c r="V423" s="21" t="str">
        <f t="shared" si="40"/>
        <v/>
      </c>
      <c r="X423" s="21" t="str">
        <f t="shared" si="41"/>
        <v/>
      </c>
    </row>
    <row r="424" spans="9:24" x14ac:dyDescent="0.35">
      <c r="I424" s="21" t="str">
        <f t="shared" si="36"/>
        <v/>
      </c>
      <c r="Q424" s="21" t="str">
        <f t="shared" si="37"/>
        <v>N/A</v>
      </c>
      <c r="R424" s="21" t="str">
        <f t="shared" si="38"/>
        <v>N/A</v>
      </c>
      <c r="T424" s="21" t="str">
        <f t="shared" si="39"/>
        <v/>
      </c>
      <c r="V424" s="21" t="str">
        <f t="shared" si="40"/>
        <v/>
      </c>
      <c r="X424" s="21" t="str">
        <f t="shared" si="41"/>
        <v/>
      </c>
    </row>
    <row r="425" spans="9:24" x14ac:dyDescent="0.35">
      <c r="I425" s="21" t="str">
        <f t="shared" si="36"/>
        <v/>
      </c>
      <c r="Q425" s="21" t="str">
        <f t="shared" si="37"/>
        <v>N/A</v>
      </c>
      <c r="R425" s="21" t="str">
        <f t="shared" si="38"/>
        <v>N/A</v>
      </c>
      <c r="T425" s="21" t="str">
        <f t="shared" si="39"/>
        <v/>
      </c>
      <c r="V425" s="21" t="str">
        <f t="shared" si="40"/>
        <v/>
      </c>
      <c r="X425" s="21" t="str">
        <f t="shared" si="41"/>
        <v/>
      </c>
    </row>
    <row r="426" spans="9:24" x14ac:dyDescent="0.35">
      <c r="I426" s="21" t="str">
        <f t="shared" si="36"/>
        <v/>
      </c>
      <c r="Q426" s="21" t="str">
        <f t="shared" si="37"/>
        <v>N/A</v>
      </c>
      <c r="R426" s="21" t="str">
        <f t="shared" si="38"/>
        <v>N/A</v>
      </c>
      <c r="T426" s="21" t="str">
        <f t="shared" si="39"/>
        <v/>
      </c>
      <c r="V426" s="21" t="str">
        <f t="shared" si="40"/>
        <v/>
      </c>
      <c r="X426" s="21" t="str">
        <f t="shared" si="41"/>
        <v/>
      </c>
    </row>
    <row r="427" spans="9:24" x14ac:dyDescent="0.35">
      <c r="I427" s="21" t="str">
        <f t="shared" si="36"/>
        <v/>
      </c>
      <c r="Q427" s="21" t="str">
        <f t="shared" si="37"/>
        <v>N/A</v>
      </c>
      <c r="R427" s="21" t="str">
        <f t="shared" si="38"/>
        <v>N/A</v>
      </c>
      <c r="T427" s="21" t="str">
        <f t="shared" si="39"/>
        <v/>
      </c>
      <c r="V427" s="21" t="str">
        <f t="shared" si="40"/>
        <v/>
      </c>
      <c r="X427" s="21" t="str">
        <f t="shared" si="41"/>
        <v/>
      </c>
    </row>
    <row r="428" spans="9:24" x14ac:dyDescent="0.35">
      <c r="I428" s="21" t="str">
        <f t="shared" si="36"/>
        <v/>
      </c>
      <c r="Q428" s="21" t="str">
        <f t="shared" si="37"/>
        <v>N/A</v>
      </c>
      <c r="R428" s="21" t="str">
        <f t="shared" si="38"/>
        <v>N/A</v>
      </c>
      <c r="T428" s="21" t="str">
        <f t="shared" si="39"/>
        <v/>
      </c>
      <c r="V428" s="21" t="str">
        <f t="shared" si="40"/>
        <v/>
      </c>
      <c r="X428" s="21" t="str">
        <f t="shared" si="41"/>
        <v/>
      </c>
    </row>
    <row r="429" spans="9:24" x14ac:dyDescent="0.35">
      <c r="I429" s="21" t="str">
        <f t="shared" si="36"/>
        <v/>
      </c>
      <c r="Q429" s="21" t="str">
        <f t="shared" si="37"/>
        <v>N/A</v>
      </c>
      <c r="R429" s="21" t="str">
        <f t="shared" si="38"/>
        <v>N/A</v>
      </c>
      <c r="T429" s="21" t="str">
        <f t="shared" si="39"/>
        <v/>
      </c>
      <c r="V429" s="21" t="str">
        <f t="shared" si="40"/>
        <v/>
      </c>
      <c r="X429" s="21" t="str">
        <f t="shared" si="41"/>
        <v/>
      </c>
    </row>
    <row r="430" spans="9:24" x14ac:dyDescent="0.35">
      <c r="I430" s="21" t="str">
        <f t="shared" si="36"/>
        <v/>
      </c>
      <c r="Q430" s="21" t="str">
        <f t="shared" si="37"/>
        <v>N/A</v>
      </c>
      <c r="R430" s="21" t="str">
        <f t="shared" si="38"/>
        <v>N/A</v>
      </c>
      <c r="T430" s="21" t="str">
        <f t="shared" si="39"/>
        <v/>
      </c>
      <c r="V430" s="21" t="str">
        <f t="shared" si="40"/>
        <v/>
      </c>
      <c r="X430" s="21" t="str">
        <f t="shared" si="41"/>
        <v/>
      </c>
    </row>
    <row r="431" spans="9:24" x14ac:dyDescent="0.35">
      <c r="I431" s="21" t="str">
        <f t="shared" si="36"/>
        <v/>
      </c>
      <c r="Q431" s="21" t="str">
        <f t="shared" si="37"/>
        <v>N/A</v>
      </c>
      <c r="R431" s="21" t="str">
        <f t="shared" si="38"/>
        <v>N/A</v>
      </c>
      <c r="T431" s="21" t="str">
        <f t="shared" si="39"/>
        <v/>
      </c>
      <c r="V431" s="21" t="str">
        <f t="shared" si="40"/>
        <v/>
      </c>
      <c r="X431" s="21" t="str">
        <f t="shared" si="41"/>
        <v/>
      </c>
    </row>
    <row r="432" spans="9:24" x14ac:dyDescent="0.35">
      <c r="I432" s="21" t="str">
        <f t="shared" si="36"/>
        <v/>
      </c>
      <c r="Q432" s="21" t="str">
        <f t="shared" si="37"/>
        <v>N/A</v>
      </c>
      <c r="R432" s="21" t="str">
        <f t="shared" si="38"/>
        <v>N/A</v>
      </c>
      <c r="T432" s="21" t="str">
        <f t="shared" si="39"/>
        <v/>
      </c>
      <c r="V432" s="21" t="str">
        <f t="shared" si="40"/>
        <v/>
      </c>
      <c r="X432" s="21" t="str">
        <f t="shared" si="41"/>
        <v/>
      </c>
    </row>
    <row r="433" spans="9:24" x14ac:dyDescent="0.35">
      <c r="I433" s="21" t="str">
        <f t="shared" si="36"/>
        <v/>
      </c>
      <c r="Q433" s="21" t="str">
        <f t="shared" si="37"/>
        <v>N/A</v>
      </c>
      <c r="R433" s="21" t="str">
        <f t="shared" si="38"/>
        <v>N/A</v>
      </c>
      <c r="T433" s="21" t="str">
        <f t="shared" si="39"/>
        <v/>
      </c>
      <c r="V433" s="21" t="str">
        <f t="shared" si="40"/>
        <v/>
      </c>
      <c r="X433" s="21" t="str">
        <f t="shared" si="41"/>
        <v/>
      </c>
    </row>
    <row r="434" spans="9:24" x14ac:dyDescent="0.35">
      <c r="I434" s="21" t="str">
        <f t="shared" si="36"/>
        <v/>
      </c>
      <c r="Q434" s="21" t="str">
        <f t="shared" si="37"/>
        <v>N/A</v>
      </c>
      <c r="R434" s="21" t="str">
        <f t="shared" si="38"/>
        <v>N/A</v>
      </c>
      <c r="T434" s="21" t="str">
        <f t="shared" si="39"/>
        <v/>
      </c>
      <c r="V434" s="21" t="str">
        <f t="shared" si="40"/>
        <v/>
      </c>
      <c r="X434" s="21" t="str">
        <f t="shared" si="41"/>
        <v/>
      </c>
    </row>
    <row r="435" spans="9:24" x14ac:dyDescent="0.35">
      <c r="I435" s="21" t="str">
        <f t="shared" si="36"/>
        <v/>
      </c>
      <c r="Q435" s="21" t="str">
        <f t="shared" si="37"/>
        <v>N/A</v>
      </c>
      <c r="R435" s="21" t="str">
        <f t="shared" si="38"/>
        <v>N/A</v>
      </c>
      <c r="T435" s="21" t="str">
        <f t="shared" si="39"/>
        <v/>
      </c>
      <c r="V435" s="21" t="str">
        <f t="shared" si="40"/>
        <v/>
      </c>
      <c r="X435" s="21" t="str">
        <f t="shared" si="41"/>
        <v/>
      </c>
    </row>
    <row r="436" spans="9:24" x14ac:dyDescent="0.35">
      <c r="I436" s="21" t="str">
        <f t="shared" si="36"/>
        <v/>
      </c>
      <c r="Q436" s="21" t="str">
        <f t="shared" si="37"/>
        <v>N/A</v>
      </c>
      <c r="R436" s="21" t="str">
        <f t="shared" si="38"/>
        <v>N/A</v>
      </c>
      <c r="T436" s="21" t="str">
        <f t="shared" si="39"/>
        <v/>
      </c>
      <c r="V436" s="21" t="str">
        <f t="shared" si="40"/>
        <v/>
      </c>
      <c r="X436" s="21" t="str">
        <f t="shared" si="41"/>
        <v/>
      </c>
    </row>
    <row r="437" spans="9:24" x14ac:dyDescent="0.35">
      <c r="I437" s="21" t="str">
        <f t="shared" si="36"/>
        <v/>
      </c>
      <c r="Q437" s="21" t="str">
        <f t="shared" si="37"/>
        <v>N/A</v>
      </c>
      <c r="R437" s="21" t="str">
        <f t="shared" si="38"/>
        <v>N/A</v>
      </c>
      <c r="T437" s="21" t="str">
        <f t="shared" si="39"/>
        <v/>
      </c>
      <c r="V437" s="21" t="str">
        <f t="shared" si="40"/>
        <v/>
      </c>
      <c r="X437" s="21" t="str">
        <f t="shared" si="41"/>
        <v/>
      </c>
    </row>
    <row r="438" spans="9:24" x14ac:dyDescent="0.35">
      <c r="I438" s="21" t="str">
        <f t="shared" si="36"/>
        <v/>
      </c>
      <c r="Q438" s="21" t="str">
        <f t="shared" si="37"/>
        <v>N/A</v>
      </c>
      <c r="R438" s="21" t="str">
        <f t="shared" si="38"/>
        <v>N/A</v>
      </c>
      <c r="T438" s="21" t="str">
        <f t="shared" si="39"/>
        <v/>
      </c>
      <c r="V438" s="21" t="str">
        <f t="shared" si="40"/>
        <v/>
      </c>
      <c r="X438" s="21" t="str">
        <f t="shared" si="41"/>
        <v/>
      </c>
    </row>
    <row r="439" spans="9:24" x14ac:dyDescent="0.35">
      <c r="I439" s="21" t="str">
        <f t="shared" si="36"/>
        <v/>
      </c>
      <c r="Q439" s="21" t="str">
        <f t="shared" si="37"/>
        <v>N/A</v>
      </c>
      <c r="R439" s="21" t="str">
        <f t="shared" si="38"/>
        <v>N/A</v>
      </c>
      <c r="T439" s="21" t="str">
        <f t="shared" si="39"/>
        <v/>
      </c>
      <c r="V439" s="21" t="str">
        <f t="shared" si="40"/>
        <v/>
      </c>
      <c r="X439" s="21" t="str">
        <f t="shared" si="41"/>
        <v/>
      </c>
    </row>
    <row r="440" spans="9:24" x14ac:dyDescent="0.35">
      <c r="I440" s="21" t="str">
        <f t="shared" si="36"/>
        <v/>
      </c>
      <c r="Q440" s="21" t="str">
        <f t="shared" si="37"/>
        <v>N/A</v>
      </c>
      <c r="R440" s="21" t="str">
        <f t="shared" si="38"/>
        <v>N/A</v>
      </c>
      <c r="T440" s="21" t="str">
        <f t="shared" si="39"/>
        <v/>
      </c>
      <c r="V440" s="21" t="str">
        <f t="shared" si="40"/>
        <v/>
      </c>
      <c r="X440" s="21" t="str">
        <f t="shared" si="41"/>
        <v/>
      </c>
    </row>
    <row r="441" spans="9:24" x14ac:dyDescent="0.35">
      <c r="I441" s="21" t="str">
        <f t="shared" si="36"/>
        <v/>
      </c>
      <c r="Q441" s="21" t="str">
        <f t="shared" si="37"/>
        <v>N/A</v>
      </c>
      <c r="R441" s="21" t="str">
        <f t="shared" si="38"/>
        <v>N/A</v>
      </c>
      <c r="T441" s="21" t="str">
        <f t="shared" si="39"/>
        <v/>
      </c>
      <c r="V441" s="21" t="str">
        <f t="shared" si="40"/>
        <v/>
      </c>
      <c r="X441" s="21" t="str">
        <f t="shared" si="41"/>
        <v/>
      </c>
    </row>
    <row r="442" spans="9:24" x14ac:dyDescent="0.35">
      <c r="I442" s="21" t="str">
        <f t="shared" si="36"/>
        <v/>
      </c>
      <c r="Q442" s="21" t="str">
        <f t="shared" si="37"/>
        <v>N/A</v>
      </c>
      <c r="R442" s="21" t="str">
        <f t="shared" si="38"/>
        <v>N/A</v>
      </c>
      <c r="T442" s="21" t="str">
        <f t="shared" si="39"/>
        <v/>
      </c>
      <c r="V442" s="21" t="str">
        <f t="shared" si="40"/>
        <v/>
      </c>
      <c r="X442" s="21" t="str">
        <f t="shared" si="41"/>
        <v/>
      </c>
    </row>
    <row r="443" spans="9:24" x14ac:dyDescent="0.35">
      <c r="I443" s="21" t="str">
        <f t="shared" si="36"/>
        <v/>
      </c>
      <c r="Q443" s="21" t="str">
        <f t="shared" si="37"/>
        <v>N/A</v>
      </c>
      <c r="R443" s="21" t="str">
        <f t="shared" si="38"/>
        <v>N/A</v>
      </c>
      <c r="T443" s="21" t="str">
        <f t="shared" si="39"/>
        <v/>
      </c>
      <c r="V443" s="21" t="str">
        <f t="shared" si="40"/>
        <v/>
      </c>
      <c r="X443" s="21" t="str">
        <f t="shared" si="41"/>
        <v/>
      </c>
    </row>
    <row r="444" spans="9:24" x14ac:dyDescent="0.35">
      <c r="I444" s="21" t="str">
        <f t="shared" si="36"/>
        <v/>
      </c>
      <c r="Q444" s="21" t="str">
        <f t="shared" si="37"/>
        <v>N/A</v>
      </c>
      <c r="R444" s="21" t="str">
        <f t="shared" si="38"/>
        <v>N/A</v>
      </c>
      <c r="T444" s="21" t="str">
        <f t="shared" si="39"/>
        <v/>
      </c>
      <c r="V444" s="21" t="str">
        <f t="shared" si="40"/>
        <v/>
      </c>
      <c r="X444" s="21" t="str">
        <f t="shared" si="41"/>
        <v/>
      </c>
    </row>
    <row r="445" spans="9:24" x14ac:dyDescent="0.35">
      <c r="I445" s="21" t="str">
        <f t="shared" si="36"/>
        <v/>
      </c>
      <c r="Q445" s="21" t="str">
        <f t="shared" si="37"/>
        <v>N/A</v>
      </c>
      <c r="R445" s="21" t="str">
        <f t="shared" si="38"/>
        <v>N/A</v>
      </c>
      <c r="T445" s="21" t="str">
        <f t="shared" si="39"/>
        <v/>
      </c>
      <c r="V445" s="21" t="str">
        <f t="shared" si="40"/>
        <v/>
      </c>
      <c r="X445" s="21" t="str">
        <f t="shared" si="41"/>
        <v/>
      </c>
    </row>
    <row r="446" spans="9:24" x14ac:dyDescent="0.35">
      <c r="I446" s="21" t="str">
        <f t="shared" si="36"/>
        <v/>
      </c>
      <c r="Q446" s="21" t="str">
        <f t="shared" si="37"/>
        <v>N/A</v>
      </c>
      <c r="R446" s="21" t="str">
        <f t="shared" si="38"/>
        <v>N/A</v>
      </c>
      <c r="T446" s="21" t="str">
        <f t="shared" si="39"/>
        <v/>
      </c>
      <c r="V446" s="21" t="str">
        <f t="shared" si="40"/>
        <v/>
      </c>
      <c r="X446" s="21" t="str">
        <f t="shared" si="41"/>
        <v/>
      </c>
    </row>
    <row r="447" spans="9:24" x14ac:dyDescent="0.35">
      <c r="I447" s="21" t="str">
        <f t="shared" si="36"/>
        <v/>
      </c>
      <c r="Q447" s="21" t="str">
        <f t="shared" si="37"/>
        <v>N/A</v>
      </c>
      <c r="R447" s="21" t="str">
        <f t="shared" si="38"/>
        <v>N/A</v>
      </c>
      <c r="T447" s="21" t="str">
        <f t="shared" si="39"/>
        <v/>
      </c>
      <c r="V447" s="21" t="str">
        <f t="shared" si="40"/>
        <v/>
      </c>
      <c r="X447" s="21" t="str">
        <f t="shared" si="41"/>
        <v/>
      </c>
    </row>
    <row r="448" spans="9:24" x14ac:dyDescent="0.35">
      <c r="I448" s="21" t="str">
        <f t="shared" si="36"/>
        <v/>
      </c>
      <c r="Q448" s="21" t="str">
        <f t="shared" si="37"/>
        <v>N/A</v>
      </c>
      <c r="R448" s="21" t="str">
        <f t="shared" si="38"/>
        <v>N/A</v>
      </c>
      <c r="T448" s="21" t="str">
        <f t="shared" si="39"/>
        <v/>
      </c>
      <c r="V448" s="21" t="str">
        <f t="shared" si="40"/>
        <v/>
      </c>
      <c r="X448" s="21" t="str">
        <f t="shared" si="41"/>
        <v/>
      </c>
    </row>
    <row r="449" spans="9:24" x14ac:dyDescent="0.35">
      <c r="I449" s="21" t="str">
        <f t="shared" si="36"/>
        <v/>
      </c>
      <c r="Q449" s="21" t="str">
        <f t="shared" si="37"/>
        <v>N/A</v>
      </c>
      <c r="R449" s="21" t="str">
        <f t="shared" si="38"/>
        <v>N/A</v>
      </c>
      <c r="T449" s="21" t="str">
        <f t="shared" si="39"/>
        <v/>
      </c>
      <c r="V449" s="21" t="str">
        <f t="shared" si="40"/>
        <v/>
      </c>
      <c r="X449" s="21" t="str">
        <f t="shared" si="41"/>
        <v/>
      </c>
    </row>
    <row r="450" spans="9:24" x14ac:dyDescent="0.35">
      <c r="I450" s="21" t="str">
        <f t="shared" si="36"/>
        <v/>
      </c>
      <c r="Q450" s="21" t="str">
        <f t="shared" si="37"/>
        <v>N/A</v>
      </c>
      <c r="R450" s="21" t="str">
        <f t="shared" si="38"/>
        <v>N/A</v>
      </c>
      <c r="T450" s="21" t="str">
        <f t="shared" si="39"/>
        <v/>
      </c>
      <c r="V450" s="21" t="str">
        <f t="shared" si="40"/>
        <v/>
      </c>
      <c r="X450" s="21" t="str">
        <f t="shared" si="41"/>
        <v/>
      </c>
    </row>
    <row r="451" spans="9:24" x14ac:dyDescent="0.35">
      <c r="I451" s="21" t="str">
        <f t="shared" si="36"/>
        <v/>
      </c>
      <c r="Q451" s="21" t="str">
        <f t="shared" si="37"/>
        <v>N/A</v>
      </c>
      <c r="R451" s="21" t="str">
        <f t="shared" si="38"/>
        <v>N/A</v>
      </c>
      <c r="T451" s="21" t="str">
        <f t="shared" si="39"/>
        <v/>
      </c>
      <c r="V451" s="21" t="str">
        <f t="shared" si="40"/>
        <v/>
      </c>
      <c r="X451" s="21" t="str">
        <f t="shared" si="41"/>
        <v/>
      </c>
    </row>
    <row r="452" spans="9:24" x14ac:dyDescent="0.35">
      <c r="I452" s="21" t="str">
        <f t="shared" si="36"/>
        <v/>
      </c>
      <c r="Q452" s="21" t="str">
        <f t="shared" si="37"/>
        <v>N/A</v>
      </c>
      <c r="R452" s="21" t="str">
        <f t="shared" si="38"/>
        <v>N/A</v>
      </c>
      <c r="T452" s="21" t="str">
        <f t="shared" si="39"/>
        <v/>
      </c>
      <c r="V452" s="21" t="str">
        <f t="shared" si="40"/>
        <v/>
      </c>
      <c r="X452" s="21" t="str">
        <f t="shared" si="41"/>
        <v/>
      </c>
    </row>
    <row r="453" spans="9:24" x14ac:dyDescent="0.35">
      <c r="I453" s="21" t="str">
        <f t="shared" si="36"/>
        <v/>
      </c>
      <c r="Q453" s="21" t="str">
        <f t="shared" si="37"/>
        <v>N/A</v>
      </c>
      <c r="R453" s="21" t="str">
        <f t="shared" si="38"/>
        <v>N/A</v>
      </c>
      <c r="T453" s="21" t="str">
        <f t="shared" si="39"/>
        <v/>
      </c>
      <c r="V453" s="21" t="str">
        <f t="shared" si="40"/>
        <v/>
      </c>
      <c r="X453" s="21" t="str">
        <f t="shared" si="41"/>
        <v/>
      </c>
    </row>
    <row r="454" spans="9:24" x14ac:dyDescent="0.35">
      <c r="I454" s="21" t="str">
        <f t="shared" ref="I454:I505" si="42">IF(OR(G454&lt;&gt;"",H454&lt;&gt;""),G454-H454,"")</f>
        <v/>
      </c>
      <c r="Q454" s="21" t="str">
        <f t="shared" ref="Q454:Q505" si="43">IFERROR(IF(K454="","N/A",IF(ISNUMBER(MATCH(K454,OLD_PROJECTS,0)),"Yes","No")),"N/A")</f>
        <v>N/A</v>
      </c>
      <c r="R454" s="21" t="str">
        <f t="shared" ref="R454:R505" si="44">IFERROR(IF(K454="","N/A",IF(Q454="Yes","No","Yes")),"N/A")</f>
        <v>N/A</v>
      </c>
      <c r="T454" s="21" t="str">
        <f t="shared" ref="T454:T505" si="45">IFERROR(IF(S454="","",IF(S454="SHARED","Yes",IF(AND(INDEX(COA_OVERHEAD,MATCH(D454,COA_LEDGER,0))="Y",S454="OLD"),"Yes",IF(AND(INDEX(COA_CLASS,MATCH(D454,COA_LEDGER,0))="Income",S454="NEW",Q454="Yes"),"Yes","No")))),"Check Ledger")</f>
        <v/>
      </c>
      <c r="V454" s="21" t="str">
        <f t="shared" ref="V454:V505" si="46">IFERROR(IF(D454="","",IF(INDEX(COA_COMPANY,MATCH(D454,COA_LEDGER,0))="New Company","NEW",IF(INDEX(COA_COMPANY,MATCH(D454,COA_LEDGER,0))="Old Company","OLD",IF(Q454="Yes","OLD","NEW")))),"Check Ledger")</f>
        <v/>
      </c>
      <c r="X454" s="21" t="str">
        <f t="shared" ref="X454:X505" si="47">IFERROR(IF(B454="","",IF(ROUND(SUMIF(TXN_VNO,B454,TXN_DEBIT)-SUMIF(TXN_VNO,B454,TXN_CREDIT),2)=0,"Yes","No")),"")</f>
        <v/>
      </c>
    </row>
    <row r="455" spans="9:24" x14ac:dyDescent="0.35">
      <c r="I455" s="21" t="str">
        <f t="shared" si="42"/>
        <v/>
      </c>
      <c r="Q455" s="21" t="str">
        <f t="shared" si="43"/>
        <v>N/A</v>
      </c>
      <c r="R455" s="21" t="str">
        <f t="shared" si="44"/>
        <v>N/A</v>
      </c>
      <c r="T455" s="21" t="str">
        <f t="shared" si="45"/>
        <v/>
      </c>
      <c r="V455" s="21" t="str">
        <f t="shared" si="46"/>
        <v/>
      </c>
      <c r="X455" s="21" t="str">
        <f t="shared" si="47"/>
        <v/>
      </c>
    </row>
    <row r="456" spans="9:24" x14ac:dyDescent="0.35">
      <c r="I456" s="21" t="str">
        <f t="shared" si="42"/>
        <v/>
      </c>
      <c r="Q456" s="21" t="str">
        <f t="shared" si="43"/>
        <v>N/A</v>
      </c>
      <c r="R456" s="21" t="str">
        <f t="shared" si="44"/>
        <v>N/A</v>
      </c>
      <c r="T456" s="21" t="str">
        <f t="shared" si="45"/>
        <v/>
      </c>
      <c r="V456" s="21" t="str">
        <f t="shared" si="46"/>
        <v/>
      </c>
      <c r="X456" s="21" t="str">
        <f t="shared" si="47"/>
        <v/>
      </c>
    </row>
    <row r="457" spans="9:24" x14ac:dyDescent="0.35">
      <c r="I457" s="21" t="str">
        <f t="shared" si="42"/>
        <v/>
      </c>
      <c r="Q457" s="21" t="str">
        <f t="shared" si="43"/>
        <v>N/A</v>
      </c>
      <c r="R457" s="21" t="str">
        <f t="shared" si="44"/>
        <v>N/A</v>
      </c>
      <c r="T457" s="21" t="str">
        <f t="shared" si="45"/>
        <v/>
      </c>
      <c r="V457" s="21" t="str">
        <f t="shared" si="46"/>
        <v/>
      </c>
      <c r="X457" s="21" t="str">
        <f t="shared" si="47"/>
        <v/>
      </c>
    </row>
    <row r="458" spans="9:24" x14ac:dyDescent="0.35">
      <c r="I458" s="21" t="str">
        <f t="shared" si="42"/>
        <v/>
      </c>
      <c r="Q458" s="21" t="str">
        <f t="shared" si="43"/>
        <v>N/A</v>
      </c>
      <c r="R458" s="21" t="str">
        <f t="shared" si="44"/>
        <v>N/A</v>
      </c>
      <c r="T458" s="21" t="str">
        <f t="shared" si="45"/>
        <v/>
      </c>
      <c r="V458" s="21" t="str">
        <f t="shared" si="46"/>
        <v/>
      </c>
      <c r="X458" s="21" t="str">
        <f t="shared" si="47"/>
        <v/>
      </c>
    </row>
    <row r="459" spans="9:24" x14ac:dyDescent="0.35">
      <c r="I459" s="21" t="str">
        <f t="shared" si="42"/>
        <v/>
      </c>
      <c r="Q459" s="21" t="str">
        <f t="shared" si="43"/>
        <v>N/A</v>
      </c>
      <c r="R459" s="21" t="str">
        <f t="shared" si="44"/>
        <v>N/A</v>
      </c>
      <c r="T459" s="21" t="str">
        <f t="shared" si="45"/>
        <v/>
      </c>
      <c r="V459" s="21" t="str">
        <f t="shared" si="46"/>
        <v/>
      </c>
      <c r="X459" s="21" t="str">
        <f t="shared" si="47"/>
        <v/>
      </c>
    </row>
    <row r="460" spans="9:24" x14ac:dyDescent="0.35">
      <c r="I460" s="21" t="str">
        <f t="shared" si="42"/>
        <v/>
      </c>
      <c r="Q460" s="21" t="str">
        <f t="shared" si="43"/>
        <v>N/A</v>
      </c>
      <c r="R460" s="21" t="str">
        <f t="shared" si="44"/>
        <v>N/A</v>
      </c>
      <c r="T460" s="21" t="str">
        <f t="shared" si="45"/>
        <v/>
      </c>
      <c r="V460" s="21" t="str">
        <f t="shared" si="46"/>
        <v/>
      </c>
      <c r="X460" s="21" t="str">
        <f t="shared" si="47"/>
        <v/>
      </c>
    </row>
    <row r="461" spans="9:24" x14ac:dyDescent="0.35">
      <c r="I461" s="21" t="str">
        <f t="shared" si="42"/>
        <v/>
      </c>
      <c r="Q461" s="21" t="str">
        <f t="shared" si="43"/>
        <v>N/A</v>
      </c>
      <c r="R461" s="21" t="str">
        <f t="shared" si="44"/>
        <v>N/A</v>
      </c>
      <c r="T461" s="21" t="str">
        <f t="shared" si="45"/>
        <v/>
      </c>
      <c r="V461" s="21" t="str">
        <f t="shared" si="46"/>
        <v/>
      </c>
      <c r="X461" s="21" t="str">
        <f t="shared" si="47"/>
        <v/>
      </c>
    </row>
    <row r="462" spans="9:24" x14ac:dyDescent="0.35">
      <c r="I462" s="21" t="str">
        <f t="shared" si="42"/>
        <v/>
      </c>
      <c r="Q462" s="21" t="str">
        <f t="shared" si="43"/>
        <v>N/A</v>
      </c>
      <c r="R462" s="21" t="str">
        <f t="shared" si="44"/>
        <v>N/A</v>
      </c>
      <c r="T462" s="21" t="str">
        <f t="shared" si="45"/>
        <v/>
      </c>
      <c r="V462" s="21" t="str">
        <f t="shared" si="46"/>
        <v/>
      </c>
      <c r="X462" s="21" t="str">
        <f t="shared" si="47"/>
        <v/>
      </c>
    </row>
    <row r="463" spans="9:24" x14ac:dyDescent="0.35">
      <c r="I463" s="21" t="str">
        <f t="shared" si="42"/>
        <v/>
      </c>
      <c r="Q463" s="21" t="str">
        <f t="shared" si="43"/>
        <v>N/A</v>
      </c>
      <c r="R463" s="21" t="str">
        <f t="shared" si="44"/>
        <v>N/A</v>
      </c>
      <c r="T463" s="21" t="str">
        <f t="shared" si="45"/>
        <v/>
      </c>
      <c r="V463" s="21" t="str">
        <f t="shared" si="46"/>
        <v/>
      </c>
      <c r="X463" s="21" t="str">
        <f t="shared" si="47"/>
        <v/>
      </c>
    </row>
    <row r="464" spans="9:24" x14ac:dyDescent="0.35">
      <c r="I464" s="21" t="str">
        <f t="shared" si="42"/>
        <v/>
      </c>
      <c r="Q464" s="21" t="str">
        <f t="shared" si="43"/>
        <v>N/A</v>
      </c>
      <c r="R464" s="21" t="str">
        <f t="shared" si="44"/>
        <v>N/A</v>
      </c>
      <c r="T464" s="21" t="str">
        <f t="shared" si="45"/>
        <v/>
      </c>
      <c r="V464" s="21" t="str">
        <f t="shared" si="46"/>
        <v/>
      </c>
      <c r="X464" s="21" t="str">
        <f t="shared" si="47"/>
        <v/>
      </c>
    </row>
    <row r="465" spans="9:24" x14ac:dyDescent="0.35">
      <c r="I465" s="21" t="str">
        <f t="shared" si="42"/>
        <v/>
      </c>
      <c r="Q465" s="21" t="str">
        <f t="shared" si="43"/>
        <v>N/A</v>
      </c>
      <c r="R465" s="21" t="str">
        <f t="shared" si="44"/>
        <v>N/A</v>
      </c>
      <c r="T465" s="21" t="str">
        <f t="shared" si="45"/>
        <v/>
      </c>
      <c r="V465" s="21" t="str">
        <f t="shared" si="46"/>
        <v/>
      </c>
      <c r="X465" s="21" t="str">
        <f t="shared" si="47"/>
        <v/>
      </c>
    </row>
    <row r="466" spans="9:24" x14ac:dyDescent="0.35">
      <c r="I466" s="21" t="str">
        <f t="shared" si="42"/>
        <v/>
      </c>
      <c r="Q466" s="21" t="str">
        <f t="shared" si="43"/>
        <v>N/A</v>
      </c>
      <c r="R466" s="21" t="str">
        <f t="shared" si="44"/>
        <v>N/A</v>
      </c>
      <c r="T466" s="21" t="str">
        <f t="shared" si="45"/>
        <v/>
      </c>
      <c r="V466" s="21" t="str">
        <f t="shared" si="46"/>
        <v/>
      </c>
      <c r="X466" s="21" t="str">
        <f t="shared" si="47"/>
        <v/>
      </c>
    </row>
    <row r="467" spans="9:24" x14ac:dyDescent="0.35">
      <c r="I467" s="21" t="str">
        <f t="shared" si="42"/>
        <v/>
      </c>
      <c r="Q467" s="21" t="str">
        <f t="shared" si="43"/>
        <v>N/A</v>
      </c>
      <c r="R467" s="21" t="str">
        <f t="shared" si="44"/>
        <v>N/A</v>
      </c>
      <c r="T467" s="21" t="str">
        <f t="shared" si="45"/>
        <v/>
      </c>
      <c r="V467" s="21" t="str">
        <f t="shared" si="46"/>
        <v/>
      </c>
      <c r="X467" s="21" t="str">
        <f t="shared" si="47"/>
        <v/>
      </c>
    </row>
    <row r="468" spans="9:24" x14ac:dyDescent="0.35">
      <c r="I468" s="21" t="str">
        <f t="shared" si="42"/>
        <v/>
      </c>
      <c r="Q468" s="21" t="str">
        <f t="shared" si="43"/>
        <v>N/A</v>
      </c>
      <c r="R468" s="21" t="str">
        <f t="shared" si="44"/>
        <v>N/A</v>
      </c>
      <c r="T468" s="21" t="str">
        <f t="shared" si="45"/>
        <v/>
      </c>
      <c r="V468" s="21" t="str">
        <f t="shared" si="46"/>
        <v/>
      </c>
      <c r="X468" s="21" t="str">
        <f t="shared" si="47"/>
        <v/>
      </c>
    </row>
    <row r="469" spans="9:24" x14ac:dyDescent="0.35">
      <c r="I469" s="21" t="str">
        <f t="shared" si="42"/>
        <v/>
      </c>
      <c r="Q469" s="21" t="str">
        <f t="shared" si="43"/>
        <v>N/A</v>
      </c>
      <c r="R469" s="21" t="str">
        <f t="shared" si="44"/>
        <v>N/A</v>
      </c>
      <c r="T469" s="21" t="str">
        <f t="shared" si="45"/>
        <v/>
      </c>
      <c r="V469" s="21" t="str">
        <f t="shared" si="46"/>
        <v/>
      </c>
      <c r="X469" s="21" t="str">
        <f t="shared" si="47"/>
        <v/>
      </c>
    </row>
    <row r="470" spans="9:24" x14ac:dyDescent="0.35">
      <c r="I470" s="21" t="str">
        <f t="shared" si="42"/>
        <v/>
      </c>
      <c r="Q470" s="21" t="str">
        <f t="shared" si="43"/>
        <v>N/A</v>
      </c>
      <c r="R470" s="21" t="str">
        <f t="shared" si="44"/>
        <v>N/A</v>
      </c>
      <c r="T470" s="21" t="str">
        <f t="shared" si="45"/>
        <v/>
      </c>
      <c r="V470" s="21" t="str">
        <f t="shared" si="46"/>
        <v/>
      </c>
      <c r="X470" s="21" t="str">
        <f t="shared" si="47"/>
        <v/>
      </c>
    </row>
    <row r="471" spans="9:24" x14ac:dyDescent="0.35">
      <c r="I471" s="21" t="str">
        <f t="shared" si="42"/>
        <v/>
      </c>
      <c r="Q471" s="21" t="str">
        <f t="shared" si="43"/>
        <v>N/A</v>
      </c>
      <c r="R471" s="21" t="str">
        <f t="shared" si="44"/>
        <v>N/A</v>
      </c>
      <c r="T471" s="21" t="str">
        <f t="shared" si="45"/>
        <v/>
      </c>
      <c r="V471" s="21" t="str">
        <f t="shared" si="46"/>
        <v/>
      </c>
      <c r="X471" s="21" t="str">
        <f t="shared" si="47"/>
        <v/>
      </c>
    </row>
    <row r="472" spans="9:24" x14ac:dyDescent="0.35">
      <c r="I472" s="21" t="str">
        <f t="shared" si="42"/>
        <v/>
      </c>
      <c r="Q472" s="21" t="str">
        <f t="shared" si="43"/>
        <v>N/A</v>
      </c>
      <c r="R472" s="21" t="str">
        <f t="shared" si="44"/>
        <v>N/A</v>
      </c>
      <c r="T472" s="21" t="str">
        <f t="shared" si="45"/>
        <v/>
      </c>
      <c r="V472" s="21" t="str">
        <f t="shared" si="46"/>
        <v/>
      </c>
      <c r="X472" s="21" t="str">
        <f t="shared" si="47"/>
        <v/>
      </c>
    </row>
    <row r="473" spans="9:24" x14ac:dyDescent="0.35">
      <c r="I473" s="21" t="str">
        <f t="shared" si="42"/>
        <v/>
      </c>
      <c r="Q473" s="21" t="str">
        <f t="shared" si="43"/>
        <v>N/A</v>
      </c>
      <c r="R473" s="21" t="str">
        <f t="shared" si="44"/>
        <v>N/A</v>
      </c>
      <c r="T473" s="21" t="str">
        <f t="shared" si="45"/>
        <v/>
      </c>
      <c r="V473" s="21" t="str">
        <f t="shared" si="46"/>
        <v/>
      </c>
      <c r="X473" s="21" t="str">
        <f t="shared" si="47"/>
        <v/>
      </c>
    </row>
    <row r="474" spans="9:24" x14ac:dyDescent="0.35">
      <c r="I474" s="21" t="str">
        <f t="shared" si="42"/>
        <v/>
      </c>
      <c r="Q474" s="21" t="str">
        <f t="shared" si="43"/>
        <v>N/A</v>
      </c>
      <c r="R474" s="21" t="str">
        <f t="shared" si="44"/>
        <v>N/A</v>
      </c>
      <c r="T474" s="21" t="str">
        <f t="shared" si="45"/>
        <v/>
      </c>
      <c r="V474" s="21" t="str">
        <f t="shared" si="46"/>
        <v/>
      </c>
      <c r="X474" s="21" t="str">
        <f t="shared" si="47"/>
        <v/>
      </c>
    </row>
    <row r="475" spans="9:24" x14ac:dyDescent="0.35">
      <c r="I475" s="21" t="str">
        <f t="shared" si="42"/>
        <v/>
      </c>
      <c r="Q475" s="21" t="str">
        <f t="shared" si="43"/>
        <v>N/A</v>
      </c>
      <c r="R475" s="21" t="str">
        <f t="shared" si="44"/>
        <v>N/A</v>
      </c>
      <c r="T475" s="21" t="str">
        <f t="shared" si="45"/>
        <v/>
      </c>
      <c r="V475" s="21" t="str">
        <f t="shared" si="46"/>
        <v/>
      </c>
      <c r="X475" s="21" t="str">
        <f t="shared" si="47"/>
        <v/>
      </c>
    </row>
    <row r="476" spans="9:24" x14ac:dyDescent="0.35">
      <c r="I476" s="21" t="str">
        <f t="shared" si="42"/>
        <v/>
      </c>
      <c r="Q476" s="21" t="str">
        <f t="shared" si="43"/>
        <v>N/A</v>
      </c>
      <c r="R476" s="21" t="str">
        <f t="shared" si="44"/>
        <v>N/A</v>
      </c>
      <c r="T476" s="21" t="str">
        <f t="shared" si="45"/>
        <v/>
      </c>
      <c r="V476" s="21" t="str">
        <f t="shared" si="46"/>
        <v/>
      </c>
      <c r="X476" s="21" t="str">
        <f t="shared" si="47"/>
        <v/>
      </c>
    </row>
    <row r="477" spans="9:24" x14ac:dyDescent="0.35">
      <c r="I477" s="21" t="str">
        <f t="shared" si="42"/>
        <v/>
      </c>
      <c r="Q477" s="21" t="str">
        <f t="shared" si="43"/>
        <v>N/A</v>
      </c>
      <c r="R477" s="21" t="str">
        <f t="shared" si="44"/>
        <v>N/A</v>
      </c>
      <c r="T477" s="21" t="str">
        <f t="shared" si="45"/>
        <v/>
      </c>
      <c r="V477" s="21" t="str">
        <f t="shared" si="46"/>
        <v/>
      </c>
      <c r="X477" s="21" t="str">
        <f t="shared" si="47"/>
        <v/>
      </c>
    </row>
    <row r="478" spans="9:24" x14ac:dyDescent="0.35">
      <c r="I478" s="21" t="str">
        <f t="shared" si="42"/>
        <v/>
      </c>
      <c r="Q478" s="21" t="str">
        <f t="shared" si="43"/>
        <v>N/A</v>
      </c>
      <c r="R478" s="21" t="str">
        <f t="shared" si="44"/>
        <v>N/A</v>
      </c>
      <c r="T478" s="21" t="str">
        <f t="shared" si="45"/>
        <v/>
      </c>
      <c r="V478" s="21" t="str">
        <f t="shared" si="46"/>
        <v/>
      </c>
      <c r="X478" s="21" t="str">
        <f t="shared" si="47"/>
        <v/>
      </c>
    </row>
    <row r="479" spans="9:24" x14ac:dyDescent="0.35">
      <c r="I479" s="21" t="str">
        <f t="shared" si="42"/>
        <v/>
      </c>
      <c r="Q479" s="21" t="str">
        <f t="shared" si="43"/>
        <v>N/A</v>
      </c>
      <c r="R479" s="21" t="str">
        <f t="shared" si="44"/>
        <v>N/A</v>
      </c>
      <c r="T479" s="21" t="str">
        <f t="shared" si="45"/>
        <v/>
      </c>
      <c r="V479" s="21" t="str">
        <f t="shared" si="46"/>
        <v/>
      </c>
      <c r="X479" s="21" t="str">
        <f t="shared" si="47"/>
        <v/>
      </c>
    </row>
    <row r="480" spans="9:24" x14ac:dyDescent="0.35">
      <c r="I480" s="21" t="str">
        <f t="shared" si="42"/>
        <v/>
      </c>
      <c r="Q480" s="21" t="str">
        <f t="shared" si="43"/>
        <v>N/A</v>
      </c>
      <c r="R480" s="21" t="str">
        <f t="shared" si="44"/>
        <v>N/A</v>
      </c>
      <c r="T480" s="21" t="str">
        <f t="shared" si="45"/>
        <v/>
      </c>
      <c r="V480" s="21" t="str">
        <f t="shared" si="46"/>
        <v/>
      </c>
      <c r="X480" s="21" t="str">
        <f t="shared" si="47"/>
        <v/>
      </c>
    </row>
    <row r="481" spans="9:24" x14ac:dyDescent="0.35">
      <c r="I481" s="21" t="str">
        <f t="shared" si="42"/>
        <v/>
      </c>
      <c r="Q481" s="21" t="str">
        <f t="shared" si="43"/>
        <v>N/A</v>
      </c>
      <c r="R481" s="21" t="str">
        <f t="shared" si="44"/>
        <v>N/A</v>
      </c>
      <c r="T481" s="21" t="str">
        <f t="shared" si="45"/>
        <v/>
      </c>
      <c r="V481" s="21" t="str">
        <f t="shared" si="46"/>
        <v/>
      </c>
      <c r="X481" s="21" t="str">
        <f t="shared" si="47"/>
        <v/>
      </c>
    </row>
    <row r="482" spans="9:24" x14ac:dyDescent="0.35">
      <c r="I482" s="21" t="str">
        <f t="shared" si="42"/>
        <v/>
      </c>
      <c r="Q482" s="21" t="str">
        <f t="shared" si="43"/>
        <v>N/A</v>
      </c>
      <c r="R482" s="21" t="str">
        <f t="shared" si="44"/>
        <v>N/A</v>
      </c>
      <c r="T482" s="21" t="str">
        <f t="shared" si="45"/>
        <v/>
      </c>
      <c r="V482" s="21" t="str">
        <f t="shared" si="46"/>
        <v/>
      </c>
      <c r="X482" s="21" t="str">
        <f t="shared" si="47"/>
        <v/>
      </c>
    </row>
    <row r="483" spans="9:24" x14ac:dyDescent="0.35">
      <c r="I483" s="21" t="str">
        <f t="shared" si="42"/>
        <v/>
      </c>
      <c r="Q483" s="21" t="str">
        <f t="shared" si="43"/>
        <v>N/A</v>
      </c>
      <c r="R483" s="21" t="str">
        <f t="shared" si="44"/>
        <v>N/A</v>
      </c>
      <c r="T483" s="21" t="str">
        <f t="shared" si="45"/>
        <v/>
      </c>
      <c r="V483" s="21" t="str">
        <f t="shared" si="46"/>
        <v/>
      </c>
      <c r="X483" s="21" t="str">
        <f t="shared" si="47"/>
        <v/>
      </c>
    </row>
    <row r="484" spans="9:24" x14ac:dyDescent="0.35">
      <c r="I484" s="21" t="str">
        <f t="shared" si="42"/>
        <v/>
      </c>
      <c r="Q484" s="21" t="str">
        <f t="shared" si="43"/>
        <v>N/A</v>
      </c>
      <c r="R484" s="21" t="str">
        <f t="shared" si="44"/>
        <v>N/A</v>
      </c>
      <c r="T484" s="21" t="str">
        <f t="shared" si="45"/>
        <v/>
      </c>
      <c r="V484" s="21" t="str">
        <f t="shared" si="46"/>
        <v/>
      </c>
      <c r="X484" s="21" t="str">
        <f t="shared" si="47"/>
        <v/>
      </c>
    </row>
    <row r="485" spans="9:24" x14ac:dyDescent="0.35">
      <c r="I485" s="21" t="str">
        <f t="shared" si="42"/>
        <v/>
      </c>
      <c r="Q485" s="21" t="str">
        <f t="shared" si="43"/>
        <v>N/A</v>
      </c>
      <c r="R485" s="21" t="str">
        <f t="shared" si="44"/>
        <v>N/A</v>
      </c>
      <c r="T485" s="21" t="str">
        <f t="shared" si="45"/>
        <v/>
      </c>
      <c r="V485" s="21" t="str">
        <f t="shared" si="46"/>
        <v/>
      </c>
      <c r="X485" s="21" t="str">
        <f t="shared" si="47"/>
        <v/>
      </c>
    </row>
    <row r="486" spans="9:24" x14ac:dyDescent="0.35">
      <c r="I486" s="21" t="str">
        <f t="shared" si="42"/>
        <v/>
      </c>
      <c r="Q486" s="21" t="str">
        <f t="shared" si="43"/>
        <v>N/A</v>
      </c>
      <c r="R486" s="21" t="str">
        <f t="shared" si="44"/>
        <v>N/A</v>
      </c>
      <c r="T486" s="21" t="str">
        <f t="shared" si="45"/>
        <v/>
      </c>
      <c r="V486" s="21" t="str">
        <f t="shared" si="46"/>
        <v/>
      </c>
      <c r="X486" s="21" t="str">
        <f t="shared" si="47"/>
        <v/>
      </c>
    </row>
    <row r="487" spans="9:24" x14ac:dyDescent="0.35">
      <c r="I487" s="21" t="str">
        <f t="shared" si="42"/>
        <v/>
      </c>
      <c r="Q487" s="21" t="str">
        <f t="shared" si="43"/>
        <v>N/A</v>
      </c>
      <c r="R487" s="21" t="str">
        <f t="shared" si="44"/>
        <v>N/A</v>
      </c>
      <c r="T487" s="21" t="str">
        <f t="shared" si="45"/>
        <v/>
      </c>
      <c r="V487" s="21" t="str">
        <f t="shared" si="46"/>
        <v/>
      </c>
      <c r="X487" s="21" t="str">
        <f t="shared" si="47"/>
        <v/>
      </c>
    </row>
    <row r="488" spans="9:24" x14ac:dyDescent="0.35">
      <c r="I488" s="21" t="str">
        <f t="shared" si="42"/>
        <v/>
      </c>
      <c r="Q488" s="21" t="str">
        <f t="shared" si="43"/>
        <v>N/A</v>
      </c>
      <c r="R488" s="21" t="str">
        <f t="shared" si="44"/>
        <v>N/A</v>
      </c>
      <c r="T488" s="21" t="str">
        <f t="shared" si="45"/>
        <v/>
      </c>
      <c r="V488" s="21" t="str">
        <f t="shared" si="46"/>
        <v/>
      </c>
      <c r="X488" s="21" t="str">
        <f t="shared" si="47"/>
        <v/>
      </c>
    </row>
    <row r="489" spans="9:24" x14ac:dyDescent="0.35">
      <c r="I489" s="21" t="str">
        <f t="shared" si="42"/>
        <v/>
      </c>
      <c r="Q489" s="21" t="str">
        <f t="shared" si="43"/>
        <v>N/A</v>
      </c>
      <c r="R489" s="21" t="str">
        <f t="shared" si="44"/>
        <v>N/A</v>
      </c>
      <c r="T489" s="21" t="str">
        <f t="shared" si="45"/>
        <v/>
      </c>
      <c r="V489" s="21" t="str">
        <f t="shared" si="46"/>
        <v/>
      </c>
      <c r="X489" s="21" t="str">
        <f t="shared" si="47"/>
        <v/>
      </c>
    </row>
    <row r="490" spans="9:24" x14ac:dyDescent="0.35">
      <c r="I490" s="21" t="str">
        <f t="shared" si="42"/>
        <v/>
      </c>
      <c r="Q490" s="21" t="str">
        <f t="shared" si="43"/>
        <v>N/A</v>
      </c>
      <c r="R490" s="21" t="str">
        <f t="shared" si="44"/>
        <v>N/A</v>
      </c>
      <c r="T490" s="21" t="str">
        <f t="shared" si="45"/>
        <v/>
      </c>
      <c r="V490" s="21" t="str">
        <f t="shared" si="46"/>
        <v/>
      </c>
      <c r="X490" s="21" t="str">
        <f t="shared" si="47"/>
        <v/>
      </c>
    </row>
    <row r="491" spans="9:24" x14ac:dyDescent="0.35">
      <c r="I491" s="21" t="str">
        <f t="shared" si="42"/>
        <v/>
      </c>
      <c r="Q491" s="21" t="str">
        <f t="shared" si="43"/>
        <v>N/A</v>
      </c>
      <c r="R491" s="21" t="str">
        <f t="shared" si="44"/>
        <v>N/A</v>
      </c>
      <c r="T491" s="21" t="str">
        <f t="shared" si="45"/>
        <v/>
      </c>
      <c r="V491" s="21" t="str">
        <f t="shared" si="46"/>
        <v/>
      </c>
      <c r="X491" s="21" t="str">
        <f t="shared" si="47"/>
        <v/>
      </c>
    </row>
    <row r="492" spans="9:24" x14ac:dyDescent="0.35">
      <c r="I492" s="21" t="str">
        <f t="shared" si="42"/>
        <v/>
      </c>
      <c r="Q492" s="21" t="str">
        <f t="shared" si="43"/>
        <v>N/A</v>
      </c>
      <c r="R492" s="21" t="str">
        <f t="shared" si="44"/>
        <v>N/A</v>
      </c>
      <c r="T492" s="21" t="str">
        <f t="shared" si="45"/>
        <v/>
      </c>
      <c r="V492" s="21" t="str">
        <f t="shared" si="46"/>
        <v/>
      </c>
      <c r="X492" s="21" t="str">
        <f t="shared" si="47"/>
        <v/>
      </c>
    </row>
    <row r="493" spans="9:24" x14ac:dyDescent="0.35">
      <c r="I493" s="21" t="str">
        <f t="shared" si="42"/>
        <v/>
      </c>
      <c r="Q493" s="21" t="str">
        <f t="shared" si="43"/>
        <v>N/A</v>
      </c>
      <c r="R493" s="21" t="str">
        <f t="shared" si="44"/>
        <v>N/A</v>
      </c>
      <c r="T493" s="21" t="str">
        <f t="shared" si="45"/>
        <v/>
      </c>
      <c r="V493" s="21" t="str">
        <f t="shared" si="46"/>
        <v/>
      </c>
      <c r="X493" s="21" t="str">
        <f t="shared" si="47"/>
        <v/>
      </c>
    </row>
    <row r="494" spans="9:24" x14ac:dyDescent="0.35">
      <c r="I494" s="21" t="str">
        <f t="shared" si="42"/>
        <v/>
      </c>
      <c r="Q494" s="21" t="str">
        <f t="shared" si="43"/>
        <v>N/A</v>
      </c>
      <c r="R494" s="21" t="str">
        <f t="shared" si="44"/>
        <v>N/A</v>
      </c>
      <c r="T494" s="21" t="str">
        <f t="shared" si="45"/>
        <v/>
      </c>
      <c r="V494" s="21" t="str">
        <f t="shared" si="46"/>
        <v/>
      </c>
      <c r="X494" s="21" t="str">
        <f t="shared" si="47"/>
        <v/>
      </c>
    </row>
    <row r="495" spans="9:24" x14ac:dyDescent="0.35">
      <c r="I495" s="21" t="str">
        <f t="shared" si="42"/>
        <v/>
      </c>
      <c r="Q495" s="21" t="str">
        <f t="shared" si="43"/>
        <v>N/A</v>
      </c>
      <c r="R495" s="21" t="str">
        <f t="shared" si="44"/>
        <v>N/A</v>
      </c>
      <c r="T495" s="21" t="str">
        <f t="shared" si="45"/>
        <v/>
      </c>
      <c r="V495" s="21" t="str">
        <f t="shared" si="46"/>
        <v/>
      </c>
      <c r="X495" s="21" t="str">
        <f t="shared" si="47"/>
        <v/>
      </c>
    </row>
    <row r="496" spans="9:24" x14ac:dyDescent="0.35">
      <c r="I496" s="21" t="str">
        <f t="shared" si="42"/>
        <v/>
      </c>
      <c r="Q496" s="21" t="str">
        <f t="shared" si="43"/>
        <v>N/A</v>
      </c>
      <c r="R496" s="21" t="str">
        <f t="shared" si="44"/>
        <v>N/A</v>
      </c>
      <c r="T496" s="21" t="str">
        <f t="shared" si="45"/>
        <v/>
      </c>
      <c r="V496" s="21" t="str">
        <f t="shared" si="46"/>
        <v/>
      </c>
      <c r="X496" s="21" t="str">
        <f t="shared" si="47"/>
        <v/>
      </c>
    </row>
    <row r="497" spans="1:24" x14ac:dyDescent="0.35">
      <c r="I497" s="21" t="str">
        <f t="shared" si="42"/>
        <v/>
      </c>
      <c r="Q497" s="21" t="str">
        <f t="shared" si="43"/>
        <v>N/A</v>
      </c>
      <c r="R497" s="21" t="str">
        <f t="shared" si="44"/>
        <v>N/A</v>
      </c>
      <c r="T497" s="21" t="str">
        <f t="shared" si="45"/>
        <v/>
      </c>
      <c r="V497" s="21" t="str">
        <f t="shared" si="46"/>
        <v/>
      </c>
      <c r="X497" s="21" t="str">
        <f t="shared" si="47"/>
        <v/>
      </c>
    </row>
    <row r="498" spans="1:24" x14ac:dyDescent="0.35">
      <c r="I498" s="21" t="str">
        <f t="shared" si="42"/>
        <v/>
      </c>
      <c r="Q498" s="21" t="str">
        <f t="shared" si="43"/>
        <v>N/A</v>
      </c>
      <c r="R498" s="21" t="str">
        <f t="shared" si="44"/>
        <v>N/A</v>
      </c>
      <c r="T498" s="21" t="str">
        <f t="shared" si="45"/>
        <v/>
      </c>
      <c r="V498" s="21" t="str">
        <f t="shared" si="46"/>
        <v/>
      </c>
      <c r="X498" s="21" t="str">
        <f t="shared" si="47"/>
        <v/>
      </c>
    </row>
    <row r="499" spans="1:24" x14ac:dyDescent="0.35">
      <c r="I499" s="21" t="str">
        <f t="shared" si="42"/>
        <v/>
      </c>
      <c r="Q499" s="21" t="str">
        <f t="shared" si="43"/>
        <v>N/A</v>
      </c>
      <c r="R499" s="21" t="str">
        <f t="shared" si="44"/>
        <v>N/A</v>
      </c>
      <c r="T499" s="21" t="str">
        <f t="shared" si="45"/>
        <v/>
      </c>
      <c r="V499" s="21" t="str">
        <f t="shared" si="46"/>
        <v/>
      </c>
      <c r="X499" s="21" t="str">
        <f t="shared" si="47"/>
        <v/>
      </c>
    </row>
    <row r="500" spans="1:24" x14ac:dyDescent="0.35">
      <c r="I500" s="21" t="str">
        <f t="shared" si="42"/>
        <v/>
      </c>
      <c r="Q500" s="21" t="str">
        <f t="shared" si="43"/>
        <v>N/A</v>
      </c>
      <c r="R500" s="21" t="str">
        <f t="shared" si="44"/>
        <v>N/A</v>
      </c>
      <c r="T500" s="21" t="str">
        <f t="shared" si="45"/>
        <v/>
      </c>
      <c r="V500" s="21" t="str">
        <f t="shared" si="46"/>
        <v/>
      </c>
      <c r="X500" s="21" t="str">
        <f t="shared" si="47"/>
        <v/>
      </c>
    </row>
    <row r="501" spans="1:24" x14ac:dyDescent="0.35">
      <c r="I501" s="21" t="str">
        <f t="shared" si="42"/>
        <v/>
      </c>
      <c r="Q501" s="21" t="str">
        <f t="shared" si="43"/>
        <v>N/A</v>
      </c>
      <c r="R501" s="21" t="str">
        <f t="shared" si="44"/>
        <v>N/A</v>
      </c>
      <c r="T501" s="21" t="str">
        <f t="shared" si="45"/>
        <v/>
      </c>
      <c r="V501" s="21" t="str">
        <f t="shared" si="46"/>
        <v/>
      </c>
      <c r="X501" s="21" t="str">
        <f t="shared" si="47"/>
        <v/>
      </c>
    </row>
    <row r="502" spans="1:24" x14ac:dyDescent="0.35">
      <c r="I502" s="21" t="str">
        <f t="shared" si="42"/>
        <v/>
      </c>
      <c r="Q502" s="21" t="str">
        <f t="shared" si="43"/>
        <v>N/A</v>
      </c>
      <c r="R502" s="21" t="str">
        <f t="shared" si="44"/>
        <v>N/A</v>
      </c>
      <c r="T502" s="21" t="str">
        <f t="shared" si="45"/>
        <v/>
      </c>
      <c r="V502" s="21" t="str">
        <f t="shared" si="46"/>
        <v/>
      </c>
      <c r="X502" s="21" t="str">
        <f t="shared" si="47"/>
        <v/>
      </c>
    </row>
    <row r="503" spans="1:24" x14ac:dyDescent="0.35">
      <c r="I503" s="21" t="str">
        <f t="shared" si="42"/>
        <v/>
      </c>
      <c r="Q503" s="21" t="str">
        <f t="shared" si="43"/>
        <v>N/A</v>
      </c>
      <c r="R503" s="21" t="str">
        <f t="shared" si="44"/>
        <v>N/A</v>
      </c>
      <c r="T503" s="21" t="str">
        <f t="shared" si="45"/>
        <v/>
      </c>
      <c r="V503" s="21" t="str">
        <f t="shared" si="46"/>
        <v/>
      </c>
      <c r="X503" s="21" t="str">
        <f t="shared" si="47"/>
        <v/>
      </c>
    </row>
    <row r="504" spans="1:24" x14ac:dyDescent="0.35">
      <c r="I504" s="21" t="str">
        <f t="shared" si="42"/>
        <v/>
      </c>
      <c r="Q504" s="21" t="str">
        <f t="shared" si="43"/>
        <v>N/A</v>
      </c>
      <c r="R504" s="21" t="str">
        <f t="shared" si="44"/>
        <v>N/A</v>
      </c>
      <c r="T504" s="21" t="str">
        <f t="shared" si="45"/>
        <v/>
      </c>
      <c r="V504" s="21" t="str">
        <f t="shared" si="46"/>
        <v/>
      </c>
      <c r="X504" s="21" t="str">
        <f t="shared" si="47"/>
        <v/>
      </c>
    </row>
    <row r="505" spans="1:24" x14ac:dyDescent="0.35">
      <c r="I505" s="21" t="str">
        <f t="shared" si="42"/>
        <v/>
      </c>
      <c r="Q505" s="21" t="str">
        <f t="shared" si="43"/>
        <v>N/A</v>
      </c>
      <c r="R505" s="21" t="str">
        <f t="shared" si="44"/>
        <v>N/A</v>
      </c>
      <c r="T505" s="21" t="str">
        <f t="shared" si="45"/>
        <v/>
      </c>
      <c r="V505" s="21" t="str">
        <f t="shared" si="46"/>
        <v/>
      </c>
      <c r="X505" s="21" t="str">
        <f t="shared" si="47"/>
        <v/>
      </c>
    </row>
    <row r="511" spans="1:24" x14ac:dyDescent="0.35">
      <c r="A511" s="15" t="s">
        <v>60</v>
      </c>
    </row>
    <row r="512" spans="1:24" x14ac:dyDescent="0.35">
      <c r="A512" s="16" t="s">
        <v>217</v>
      </c>
    </row>
    <row r="513" spans="1:1" x14ac:dyDescent="0.35">
      <c r="A513" s="16" t="s">
        <v>218</v>
      </c>
    </row>
    <row r="514" spans="1:1" x14ac:dyDescent="0.35">
      <c r="A514" s="16" t="s">
        <v>219</v>
      </c>
    </row>
    <row r="515" spans="1:1" x14ac:dyDescent="0.35">
      <c r="A515" s="16" t="s">
        <v>220</v>
      </c>
    </row>
    <row r="516" spans="1:1" x14ac:dyDescent="0.35">
      <c r="A516" s="16" t="s">
        <v>221</v>
      </c>
    </row>
    <row r="517" spans="1:1" x14ac:dyDescent="0.35">
      <c r="A517" s="16" t="s">
        <v>222</v>
      </c>
    </row>
    <row r="518" spans="1:1" x14ac:dyDescent="0.35">
      <c r="A518" s="16" t="s">
        <v>223</v>
      </c>
    </row>
  </sheetData>
  <conditionalFormatting sqref="S6:S100005">
    <cfRule type="expression" dxfId="3" priority="3">
      <formula>AND(S6&lt;&gt;"",S6&lt;&gt;V6)</formula>
    </cfRule>
  </conditionalFormatting>
  <conditionalFormatting sqref="T6:T100005">
    <cfRule type="expression" dxfId="2" priority="2">
      <formula>T6="Yes"</formula>
    </cfRule>
  </conditionalFormatting>
  <dataValidations count="3">
    <dataValidation type="list" allowBlank="1" sqref="S6:S1518" xr:uid="{00000000-0002-0000-0A00-000000000000}">
      <formula1>"OLD,NEW,SHARED"</formula1>
      <formula2>0</formula2>
    </dataValidation>
    <dataValidation type="list" allowBlank="1" sqref="U6:U1518" xr:uid="{00000000-0002-0000-0A00-000001000000}">
      <formula1>"Yes,No,Pending,N/A"</formula1>
      <formula2>0</formula2>
    </dataValidation>
    <dataValidation type="list" allowBlank="1" sqref="N6:N1518" xr:uid="{00000000-0002-0000-0A00-000002000000}">
      <formula1>"Bank,Cash,Credit"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9"/>
  <sheetViews>
    <sheetView zoomScaleNormal="100" workbookViewId="0"/>
  </sheetViews>
  <sheetFormatPr defaultColWidth="8.6328125" defaultRowHeight="14.5" x14ac:dyDescent="0.35"/>
  <cols>
    <col min="1" max="1" width="55" customWidth="1"/>
    <col min="2" max="2" width="18" customWidth="1"/>
  </cols>
  <sheetData>
    <row r="1" spans="1:2" ht="18" x14ac:dyDescent="0.4">
      <c r="A1" s="2" t="s">
        <v>224</v>
      </c>
    </row>
    <row r="2" spans="1:2" x14ac:dyDescent="0.35">
      <c r="A2" s="3" t="s">
        <v>225</v>
      </c>
    </row>
    <row r="5" spans="1:2" ht="30" customHeight="1" x14ac:dyDescent="0.35">
      <c r="A5" s="10" t="s">
        <v>226</v>
      </c>
      <c r="B5" s="10" t="s">
        <v>56</v>
      </c>
    </row>
    <row r="6" spans="1:2" x14ac:dyDescent="0.35">
      <c r="A6" t="s">
        <v>227</v>
      </c>
      <c r="B6" s="22">
        <f>SUMIFS(TXN_DEBIT,TXN_FLAG,"OLD",TXN_OLDPROJ,"Yes",TXN_BANK,"*New Co*")+SUMIFS(TXN_DEBIT,TXN_FLAG,"OLD",TXN_OLDPROJ,"Yes",TXN_CASH,"*New Co*")</f>
        <v>0</v>
      </c>
    </row>
    <row r="7" spans="1:2" x14ac:dyDescent="0.35">
      <c r="A7" t="s">
        <v>228</v>
      </c>
      <c r="B7" s="22">
        <f>SUMIFS(TXN_DEBIT,TXN_RECOV,"Yes",TXN_OLDPROJ,"Yes")</f>
        <v>0</v>
      </c>
    </row>
    <row r="8" spans="1:2" x14ac:dyDescent="0.35">
      <c r="A8" s="7" t="s">
        <v>229</v>
      </c>
      <c r="B8" s="23">
        <f>B6-B7</f>
        <v>0</v>
      </c>
    </row>
    <row r="11" spans="1:2" x14ac:dyDescent="0.35">
      <c r="A11" s="7" t="s">
        <v>230</v>
      </c>
    </row>
    <row r="12" spans="1:2" x14ac:dyDescent="0.35">
      <c r="A12" s="24" t="s">
        <v>231</v>
      </c>
    </row>
    <row r="13" spans="1:2" x14ac:dyDescent="0.35">
      <c r="A13" s="24" t="s">
        <v>232</v>
      </c>
    </row>
    <row r="16" spans="1:2" x14ac:dyDescent="0.35">
      <c r="A16" s="15" t="s">
        <v>60</v>
      </c>
    </row>
    <row r="17" spans="1:1" x14ac:dyDescent="0.35">
      <c r="A17" s="16" t="s">
        <v>233</v>
      </c>
    </row>
    <row r="18" spans="1:1" x14ac:dyDescent="0.35">
      <c r="A18" s="16" t="s">
        <v>234</v>
      </c>
    </row>
    <row r="19" spans="1:1" x14ac:dyDescent="0.35">
      <c r="A19" s="16" t="s">
        <v>235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8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20" customWidth="1"/>
    <col min="3" max="5" width="16" customWidth="1"/>
  </cols>
  <sheetData>
    <row r="1" spans="1:5" ht="18" x14ac:dyDescent="0.4">
      <c r="A1" s="2" t="s">
        <v>236</v>
      </c>
    </row>
    <row r="2" spans="1:5" x14ac:dyDescent="0.35">
      <c r="A2" s="3" t="s">
        <v>237</v>
      </c>
    </row>
    <row r="5" spans="1:5" ht="30" customHeight="1" x14ac:dyDescent="0.35">
      <c r="A5" s="10" t="s">
        <v>51</v>
      </c>
      <c r="B5" s="10" t="s">
        <v>67</v>
      </c>
      <c r="C5" s="10" t="s">
        <v>109</v>
      </c>
      <c r="D5" s="10" t="s">
        <v>54</v>
      </c>
      <c r="E5" s="10" t="s">
        <v>55</v>
      </c>
    </row>
    <row r="6" spans="1:5" x14ac:dyDescent="0.35">
      <c r="A6" s="21" t="str">
        <f>'10 Chart of Accounts'!A5</f>
        <v>Sales - Interior Projects</v>
      </c>
      <c r="B6" s="21" t="str">
        <f>'10 Chart of Accounts'!B5</f>
        <v>Sales Accounts</v>
      </c>
      <c r="C6" s="21" t="str">
        <f>'10 Chart of Accounts'!D5</f>
        <v>Income</v>
      </c>
      <c r="D6" s="20">
        <f t="shared" ref="D6:D35" si="0">SUMIFS(TXN_DEBIT,TXN_LEDGER,A6,TXN_FLAG,"OLD")</f>
        <v>0</v>
      </c>
      <c r="E6" s="20">
        <f t="shared" ref="E6:E35" si="1">SUMIFS(TXN_CREDIT,TXN_LEDGER,A6,TXN_FLAG,"OLD")</f>
        <v>950000</v>
      </c>
    </row>
    <row r="7" spans="1:5" x14ac:dyDescent="0.35">
      <c r="A7" s="21" t="str">
        <f>'10 Chart of Accounts'!A6</f>
        <v>Site Material Purchase</v>
      </c>
      <c r="B7" s="21" t="str">
        <f>'10 Chart of Accounts'!B6</f>
        <v>Purchase Accounts</v>
      </c>
      <c r="C7" s="21" t="str">
        <f>'10 Chart of Accounts'!D6</f>
        <v>Direct Cost</v>
      </c>
      <c r="D7" s="20">
        <f t="shared" si="0"/>
        <v>185000</v>
      </c>
      <c r="E7" s="20">
        <f t="shared" si="1"/>
        <v>0</v>
      </c>
    </row>
    <row r="8" spans="1:5" x14ac:dyDescent="0.35">
      <c r="A8" s="21" t="str">
        <f>'10 Chart of Accounts'!A7</f>
        <v>Site Labour Charges</v>
      </c>
      <c r="B8" s="21" t="str">
        <f>'10 Chart of Accounts'!B7</f>
        <v>Direct Expenses</v>
      </c>
      <c r="C8" s="21" t="str">
        <f>'10 Chart of Accounts'!D7</f>
        <v>Direct Cost</v>
      </c>
      <c r="D8" s="20">
        <f t="shared" si="0"/>
        <v>0</v>
      </c>
      <c r="E8" s="20">
        <f t="shared" si="1"/>
        <v>0</v>
      </c>
    </row>
    <row r="9" spans="1:5" x14ac:dyDescent="0.35">
      <c r="A9" s="21" t="str">
        <f>'10 Chart of Accounts'!A8</f>
        <v>Subcontract Charges</v>
      </c>
      <c r="B9" s="21" t="str">
        <f>'10 Chart of Accounts'!B8</f>
        <v>Direct Expenses</v>
      </c>
      <c r="C9" s="21" t="str">
        <f>'10 Chart of Accounts'!D8</f>
        <v>Direct Cost</v>
      </c>
      <c r="D9" s="20">
        <f t="shared" si="0"/>
        <v>0</v>
      </c>
      <c r="E9" s="20">
        <f t="shared" si="1"/>
        <v>0</v>
      </c>
    </row>
    <row r="10" spans="1:5" x14ac:dyDescent="0.35">
      <c r="A10" s="21" t="str">
        <f>'10 Chart of Accounts'!A9</f>
        <v>Site Transport</v>
      </c>
      <c r="B10" s="21" t="str">
        <f>'10 Chart of Accounts'!B9</f>
        <v>Direct Expenses</v>
      </c>
      <c r="C10" s="21" t="str">
        <f>'10 Chart of Accounts'!D9</f>
        <v>Direct Cost</v>
      </c>
      <c r="D10" s="20">
        <f t="shared" si="0"/>
        <v>0</v>
      </c>
      <c r="E10" s="20">
        <f t="shared" si="1"/>
        <v>0</v>
      </c>
    </row>
    <row r="11" spans="1:5" x14ac:dyDescent="0.35">
      <c r="A11" s="21" t="str">
        <f>'10 Chart of Accounts'!A10</f>
        <v>Office Rent</v>
      </c>
      <c r="B11" s="21" t="str">
        <f>'10 Chart of Accounts'!B10</f>
        <v>Indirect Expenses</v>
      </c>
      <c r="C11" s="21" t="str">
        <f>'10 Chart of Accounts'!D10</f>
        <v>Indirect Cost</v>
      </c>
      <c r="D11" s="20">
        <f t="shared" si="0"/>
        <v>0</v>
      </c>
      <c r="E11" s="20">
        <f t="shared" si="1"/>
        <v>0</v>
      </c>
    </row>
    <row r="12" spans="1:5" x14ac:dyDescent="0.35">
      <c r="A12" s="21" t="str">
        <f>'10 Chart of Accounts'!A11</f>
        <v>Office Salary</v>
      </c>
      <c r="B12" s="21" t="str">
        <f>'10 Chart of Accounts'!B11</f>
        <v>Indirect Expenses</v>
      </c>
      <c r="C12" s="21" t="str">
        <f>'10 Chart of Accounts'!D11</f>
        <v>Indirect Cost</v>
      </c>
      <c r="D12" s="20">
        <f t="shared" si="0"/>
        <v>0</v>
      </c>
      <c r="E12" s="20">
        <f t="shared" si="1"/>
        <v>0</v>
      </c>
    </row>
    <row r="13" spans="1:5" x14ac:dyDescent="0.35">
      <c r="A13" s="21" t="str">
        <f>'10 Chart of Accounts'!A12</f>
        <v>Admin Salary</v>
      </c>
      <c r="B13" s="21" t="str">
        <f>'10 Chart of Accounts'!B12</f>
        <v>Indirect Expenses</v>
      </c>
      <c r="C13" s="21" t="str">
        <f>'10 Chart of Accounts'!D12</f>
        <v>Indirect Cost</v>
      </c>
      <c r="D13" s="20">
        <f t="shared" si="0"/>
        <v>0</v>
      </c>
      <c r="E13" s="20">
        <f t="shared" si="1"/>
        <v>0</v>
      </c>
    </row>
    <row r="14" spans="1:5" x14ac:dyDescent="0.35">
      <c r="A14" s="21" t="str">
        <f>'10 Chart of Accounts'!A13</f>
        <v>Electricity Charges</v>
      </c>
      <c r="B14" s="21" t="str">
        <f>'10 Chart of Accounts'!B13</f>
        <v>Indirect Expenses</v>
      </c>
      <c r="C14" s="21" t="str">
        <f>'10 Chart of Accounts'!D13</f>
        <v>Indirect Cost</v>
      </c>
      <c r="D14" s="20">
        <f t="shared" si="0"/>
        <v>0</v>
      </c>
      <c r="E14" s="20">
        <f t="shared" si="1"/>
        <v>0</v>
      </c>
    </row>
    <row r="15" spans="1:5" x14ac:dyDescent="0.35">
      <c r="A15" s="21" t="str">
        <f>'10 Chart of Accounts'!A14</f>
        <v>Internet &amp; Telephone</v>
      </c>
      <c r="B15" s="21" t="str">
        <f>'10 Chart of Accounts'!B14</f>
        <v>Indirect Expenses</v>
      </c>
      <c r="C15" s="21" t="str">
        <f>'10 Chart of Accounts'!D14</f>
        <v>Indirect Cost</v>
      </c>
      <c r="D15" s="20">
        <f t="shared" si="0"/>
        <v>0</v>
      </c>
      <c r="E15" s="20">
        <f t="shared" si="1"/>
        <v>0</v>
      </c>
    </row>
    <row r="16" spans="1:5" x14ac:dyDescent="0.35">
      <c r="A16" s="21" t="str">
        <f>'10 Chart of Accounts'!A15</f>
        <v>Fuel Expenses</v>
      </c>
      <c r="B16" s="21" t="str">
        <f>'10 Chart of Accounts'!B15</f>
        <v>Indirect Expenses</v>
      </c>
      <c r="C16" s="21" t="str">
        <f>'10 Chart of Accounts'!D15</f>
        <v>Indirect Cost</v>
      </c>
      <c r="D16" s="20">
        <f t="shared" si="0"/>
        <v>0</v>
      </c>
      <c r="E16" s="20">
        <f t="shared" si="1"/>
        <v>0</v>
      </c>
    </row>
    <row r="17" spans="1:5" x14ac:dyDescent="0.35">
      <c r="A17" s="21" t="str">
        <f>'10 Chart of Accounts'!A16</f>
        <v>Marketing Expenses</v>
      </c>
      <c r="B17" s="21" t="str">
        <f>'10 Chart of Accounts'!B16</f>
        <v>Indirect Expenses</v>
      </c>
      <c r="C17" s="21" t="str">
        <f>'10 Chart of Accounts'!D16</f>
        <v>Indirect Cost</v>
      </c>
      <c r="D17" s="20">
        <f t="shared" si="0"/>
        <v>0</v>
      </c>
      <c r="E17" s="20">
        <f t="shared" si="1"/>
        <v>0</v>
      </c>
    </row>
    <row r="18" spans="1:5" x14ac:dyDescent="0.35">
      <c r="A18" s="21" t="str">
        <f>'10 Chart of Accounts'!A17</f>
        <v>Professional &amp; Audit Fees</v>
      </c>
      <c r="B18" s="21" t="str">
        <f>'10 Chart of Accounts'!B17</f>
        <v>Indirect Expenses</v>
      </c>
      <c r="C18" s="21" t="str">
        <f>'10 Chart of Accounts'!D17</f>
        <v>Indirect Cost</v>
      </c>
      <c r="D18" s="20">
        <f t="shared" si="0"/>
        <v>0</v>
      </c>
      <c r="E18" s="20">
        <f t="shared" si="1"/>
        <v>0</v>
      </c>
    </row>
    <row r="19" spans="1:5" x14ac:dyDescent="0.35">
      <c r="A19" s="21" t="str">
        <f>'10 Chart of Accounts'!A18</f>
        <v>Vehicle Running Expenses</v>
      </c>
      <c r="B19" s="21" t="str">
        <f>'10 Chart of Accounts'!B18</f>
        <v>Indirect Expenses</v>
      </c>
      <c r="C19" s="21" t="str">
        <f>'10 Chart of Accounts'!D18</f>
        <v>Indirect Cost</v>
      </c>
      <c r="D19" s="20">
        <f t="shared" si="0"/>
        <v>0</v>
      </c>
      <c r="E19" s="20">
        <f t="shared" si="1"/>
        <v>0</v>
      </c>
    </row>
    <row r="20" spans="1:5" x14ac:dyDescent="0.35">
      <c r="A20" s="21" t="str">
        <f>'10 Chart of Accounts'!A19</f>
        <v>Software &amp; Subscriptions</v>
      </c>
      <c r="B20" s="21" t="str">
        <f>'10 Chart of Accounts'!B19</f>
        <v>Indirect Expenses</v>
      </c>
      <c r="C20" s="21" t="str">
        <f>'10 Chart of Accounts'!D19</f>
        <v>Indirect Cost</v>
      </c>
      <c r="D20" s="20">
        <f t="shared" si="0"/>
        <v>0</v>
      </c>
      <c r="E20" s="20">
        <f t="shared" si="1"/>
        <v>0</v>
      </c>
    </row>
    <row r="21" spans="1:5" x14ac:dyDescent="0.35">
      <c r="A21" s="21" t="str">
        <f>'10 Chart of Accounts'!A20</f>
        <v>Printing &amp; Stationery</v>
      </c>
      <c r="B21" s="21" t="str">
        <f>'10 Chart of Accounts'!B20</f>
        <v>Indirect Expenses</v>
      </c>
      <c r="C21" s="21" t="str">
        <f>'10 Chart of Accounts'!D20</f>
        <v>Indirect Cost</v>
      </c>
      <c r="D21" s="20">
        <f t="shared" si="0"/>
        <v>0</v>
      </c>
      <c r="E21" s="20">
        <f t="shared" si="1"/>
        <v>0</v>
      </c>
    </row>
    <row r="22" spans="1:5" x14ac:dyDescent="0.35">
      <c r="A22" s="21" t="str">
        <f>'10 Chart of Accounts'!A21</f>
        <v>Factory Overhead</v>
      </c>
      <c r="B22" s="21" t="str">
        <f>'10 Chart of Accounts'!B21</f>
        <v>Indirect Expenses</v>
      </c>
      <c r="C22" s="21" t="str">
        <f>'10 Chart of Accounts'!D21</f>
        <v>Indirect Cost</v>
      </c>
      <c r="D22" s="20">
        <f t="shared" si="0"/>
        <v>0</v>
      </c>
      <c r="E22" s="20">
        <f t="shared" si="1"/>
        <v>0</v>
      </c>
    </row>
    <row r="23" spans="1:5" x14ac:dyDescent="0.35">
      <c r="A23" s="21" t="str">
        <f>'10 Chart of Accounts'!A22</f>
        <v>Sundry Debtors</v>
      </c>
      <c r="B23" s="21" t="str">
        <f>'10 Chart of Accounts'!B22</f>
        <v>Sundry Debtors</v>
      </c>
      <c r="C23" s="21" t="str">
        <f>'10 Chart of Accounts'!D22</f>
        <v>Asset</v>
      </c>
      <c r="D23" s="20">
        <f t="shared" si="0"/>
        <v>0</v>
      </c>
      <c r="E23" s="20">
        <f t="shared" si="1"/>
        <v>0</v>
      </c>
    </row>
    <row r="24" spans="1:5" x14ac:dyDescent="0.35">
      <c r="A24" s="21" t="str">
        <f>'10 Chart of Accounts'!A23</f>
        <v>Sundry Creditors</v>
      </c>
      <c r="B24" s="21" t="str">
        <f>'10 Chart of Accounts'!B23</f>
        <v>Sundry Creditors</v>
      </c>
      <c r="C24" s="21" t="str">
        <f>'10 Chart of Accounts'!D23</f>
        <v>Liability</v>
      </c>
      <c r="D24" s="20">
        <f t="shared" si="0"/>
        <v>0</v>
      </c>
      <c r="E24" s="20">
        <f t="shared" si="1"/>
        <v>0</v>
      </c>
    </row>
    <row r="25" spans="1:5" x14ac:dyDescent="0.35">
      <c r="A25" s="21" t="str">
        <f>'10 Chart of Accounts'!A24</f>
        <v>Customer Advance</v>
      </c>
      <c r="B25" s="21" t="str">
        <f>'10 Chart of Accounts'!B24</f>
        <v>Current Liabilities</v>
      </c>
      <c r="C25" s="21" t="str">
        <f>'10 Chart of Accounts'!D24</f>
        <v>Liability</v>
      </c>
      <c r="D25" s="20">
        <f t="shared" si="0"/>
        <v>0</v>
      </c>
      <c r="E25" s="20">
        <f t="shared" si="1"/>
        <v>0</v>
      </c>
    </row>
    <row r="26" spans="1:5" x14ac:dyDescent="0.35">
      <c r="A26" s="21" t="str">
        <f>'10 Chart of Accounts'!A25</f>
        <v>HDFC Bank - Old Co</v>
      </c>
      <c r="B26" s="21" t="str">
        <f>'10 Chart of Accounts'!B25</f>
        <v>Bank Accounts</v>
      </c>
      <c r="C26" s="21" t="str">
        <f>'10 Chart of Accounts'!D25</f>
        <v>Bank</v>
      </c>
      <c r="D26" s="20">
        <f t="shared" si="0"/>
        <v>0</v>
      </c>
      <c r="E26" s="20">
        <f t="shared" si="1"/>
        <v>0</v>
      </c>
    </row>
    <row r="27" spans="1:5" x14ac:dyDescent="0.35">
      <c r="A27" s="21" t="str">
        <f>'10 Chart of Accounts'!A26</f>
        <v>HDFC Bank - New Co</v>
      </c>
      <c r="B27" s="21" t="str">
        <f>'10 Chart of Accounts'!B26</f>
        <v>Bank Accounts</v>
      </c>
      <c r="C27" s="21" t="str">
        <f>'10 Chart of Accounts'!D26</f>
        <v>Bank</v>
      </c>
      <c r="D27" s="20">
        <f t="shared" si="0"/>
        <v>0</v>
      </c>
      <c r="E27" s="20">
        <f t="shared" si="1"/>
        <v>0</v>
      </c>
    </row>
    <row r="28" spans="1:5" x14ac:dyDescent="0.35">
      <c r="A28" s="21" t="str">
        <f>'10 Chart of Accounts'!A27</f>
        <v>Cash</v>
      </c>
      <c r="B28" s="21" t="str">
        <f>'10 Chart of Accounts'!B27</f>
        <v>Cash-in-Hand</v>
      </c>
      <c r="C28" s="21" t="str">
        <f>'10 Chart of Accounts'!D27</f>
        <v>Cash</v>
      </c>
      <c r="D28" s="20">
        <f t="shared" si="0"/>
        <v>0</v>
      </c>
      <c r="E28" s="20">
        <f t="shared" si="1"/>
        <v>0</v>
      </c>
    </row>
    <row r="29" spans="1:5" x14ac:dyDescent="0.35">
      <c r="A29" s="21" t="str">
        <f>'10 Chart of Accounts'!A28</f>
        <v>Raw Material Stock</v>
      </c>
      <c r="B29" s="21" t="str">
        <f>'10 Chart of Accounts'!B28</f>
        <v>Stock-in-Hand</v>
      </c>
      <c r="C29" s="21" t="str">
        <f>'10 Chart of Accounts'!D28</f>
        <v>Stock</v>
      </c>
      <c r="D29" s="20">
        <f t="shared" si="0"/>
        <v>0</v>
      </c>
      <c r="E29" s="20">
        <f t="shared" si="1"/>
        <v>0</v>
      </c>
    </row>
    <row r="30" spans="1:5" x14ac:dyDescent="0.35">
      <c r="A30" s="21" t="str">
        <f>'10 Chart of Accounts'!A29</f>
        <v>Output CGST/SGST/IGST</v>
      </c>
      <c r="B30" s="21" t="str">
        <f>'10 Chart of Accounts'!B29</f>
        <v>Duties &amp; Taxes</v>
      </c>
      <c r="C30" s="21" t="str">
        <f>'10 Chart of Accounts'!D29</f>
        <v>GST</v>
      </c>
      <c r="D30" s="20">
        <f t="shared" si="0"/>
        <v>0</v>
      </c>
      <c r="E30" s="20">
        <f t="shared" si="1"/>
        <v>0</v>
      </c>
    </row>
    <row r="31" spans="1:5" x14ac:dyDescent="0.35">
      <c r="A31" s="21" t="str">
        <f>'10 Chart of Accounts'!A30</f>
        <v>Input CGST/SGST/IGST</v>
      </c>
      <c r="B31" s="21" t="str">
        <f>'10 Chart of Accounts'!B30</f>
        <v>Duties &amp; Taxes</v>
      </c>
      <c r="C31" s="21" t="str">
        <f>'10 Chart of Accounts'!D30</f>
        <v>GST</v>
      </c>
      <c r="D31" s="20">
        <f t="shared" si="0"/>
        <v>0</v>
      </c>
      <c r="E31" s="20">
        <f t="shared" si="1"/>
        <v>0</v>
      </c>
    </row>
    <row r="32" spans="1:5" x14ac:dyDescent="0.35">
      <c r="A32" s="21" t="str">
        <f>'10 Chart of Accounts'!A31</f>
        <v>Bank Loan</v>
      </c>
      <c r="B32" s="21" t="str">
        <f>'10 Chart of Accounts'!B31</f>
        <v>Loans (Liability)</v>
      </c>
      <c r="C32" s="21" t="str">
        <f>'10 Chart of Accounts'!D31</f>
        <v>Loan</v>
      </c>
      <c r="D32" s="20">
        <f t="shared" si="0"/>
        <v>0</v>
      </c>
      <c r="E32" s="20">
        <f t="shared" si="1"/>
        <v>0</v>
      </c>
    </row>
    <row r="33" spans="1:5" x14ac:dyDescent="0.35">
      <c r="A33" s="21" t="str">
        <f>'10 Chart of Accounts'!A32</f>
        <v>Capital Account</v>
      </c>
      <c r="B33" s="21" t="str">
        <f>'10 Chart of Accounts'!B32</f>
        <v>Capital Account</v>
      </c>
      <c r="C33" s="21" t="str">
        <f>'10 Chart of Accounts'!D32</f>
        <v>Capital</v>
      </c>
      <c r="D33" s="20">
        <f t="shared" si="0"/>
        <v>0</v>
      </c>
      <c r="E33" s="20">
        <f t="shared" si="1"/>
        <v>0</v>
      </c>
    </row>
    <row r="34" spans="1:5" x14ac:dyDescent="0.35">
      <c r="A34" s="21" t="str">
        <f>'10 Chart of Accounts'!A33</f>
        <v>Intercompany - Old Co A/c</v>
      </c>
      <c r="B34" s="21" t="str">
        <f>'10 Chart of Accounts'!B33</f>
        <v>Intercompany</v>
      </c>
      <c r="C34" s="21" t="str">
        <f>'10 Chart of Accounts'!D33</f>
        <v>Intercompany</v>
      </c>
      <c r="D34" s="20">
        <f t="shared" si="0"/>
        <v>0</v>
      </c>
      <c r="E34" s="20">
        <f t="shared" si="1"/>
        <v>0</v>
      </c>
    </row>
    <row r="35" spans="1:5" x14ac:dyDescent="0.35">
      <c r="A35" s="21" t="str">
        <f>'10 Chart of Accounts'!A34</f>
        <v>Intercompany - New Co A/c</v>
      </c>
      <c r="B35" s="21" t="str">
        <f>'10 Chart of Accounts'!B34</f>
        <v>Intercompany</v>
      </c>
      <c r="C35" s="21" t="str">
        <f>'10 Chart of Accounts'!D34</f>
        <v>Intercompany</v>
      </c>
      <c r="D35" s="20">
        <f t="shared" si="0"/>
        <v>0</v>
      </c>
      <c r="E35" s="20">
        <f t="shared" si="1"/>
        <v>0</v>
      </c>
    </row>
    <row r="37" spans="1:5" x14ac:dyDescent="0.35">
      <c r="A37" s="7" t="s">
        <v>238</v>
      </c>
      <c r="D37" s="25">
        <f>SUM(D6:D35)</f>
        <v>185000</v>
      </c>
      <c r="E37" s="25">
        <f>SUM(E6:E35)</f>
        <v>950000</v>
      </c>
    </row>
    <row r="38" spans="1:5" x14ac:dyDescent="0.35">
      <c r="A38" s="26" t="s">
        <v>239</v>
      </c>
      <c r="D38" s="27">
        <f>D37-E37</f>
        <v>-765000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8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20" customWidth="1"/>
    <col min="3" max="5" width="16" customWidth="1"/>
  </cols>
  <sheetData>
    <row r="1" spans="1:5" ht="18" x14ac:dyDescent="0.4">
      <c r="A1" s="2" t="s">
        <v>240</v>
      </c>
    </row>
    <row r="2" spans="1:5" x14ac:dyDescent="0.35">
      <c r="A2" s="3" t="s">
        <v>241</v>
      </c>
    </row>
    <row r="5" spans="1:5" ht="30" customHeight="1" x14ac:dyDescent="0.35">
      <c r="A5" s="10" t="s">
        <v>51</v>
      </c>
      <c r="B5" s="10" t="s">
        <v>67</v>
      </c>
      <c r="C5" s="10" t="s">
        <v>109</v>
      </c>
      <c r="D5" s="10" t="s">
        <v>54</v>
      </c>
      <c r="E5" s="10" t="s">
        <v>55</v>
      </c>
    </row>
    <row r="6" spans="1:5" x14ac:dyDescent="0.35">
      <c r="A6" s="21" t="str">
        <f>'10 Chart of Accounts'!A5</f>
        <v>Sales - Interior Projects</v>
      </c>
      <c r="B6" s="21" t="str">
        <f>'10 Chart of Accounts'!B5</f>
        <v>Sales Accounts</v>
      </c>
      <c r="C6" s="21" t="str">
        <f>'10 Chart of Accounts'!D5</f>
        <v>Income</v>
      </c>
      <c r="D6" s="20">
        <f t="shared" ref="D6:D35" si="0">SUMIFS(TXN_DEBIT,TXN_LEDGER,A6,TXN_FLAG,"NEW")</f>
        <v>0</v>
      </c>
      <c r="E6" s="20">
        <f t="shared" ref="E6:E35" si="1">SUMIFS(TXN_CREDIT,TXN_LEDGER,A6,TXN_FLAG,"NEW")</f>
        <v>0</v>
      </c>
    </row>
    <row r="7" spans="1:5" x14ac:dyDescent="0.35">
      <c r="A7" s="21" t="str">
        <f>'10 Chart of Accounts'!A6</f>
        <v>Site Material Purchase</v>
      </c>
      <c r="B7" s="21" t="str">
        <f>'10 Chart of Accounts'!B6</f>
        <v>Purchase Accounts</v>
      </c>
      <c r="C7" s="21" t="str">
        <f>'10 Chart of Accounts'!D6</f>
        <v>Direct Cost</v>
      </c>
      <c r="D7" s="20">
        <f t="shared" si="0"/>
        <v>0</v>
      </c>
      <c r="E7" s="20">
        <f t="shared" si="1"/>
        <v>0</v>
      </c>
    </row>
    <row r="8" spans="1:5" x14ac:dyDescent="0.35">
      <c r="A8" s="21" t="str">
        <f>'10 Chart of Accounts'!A7</f>
        <v>Site Labour Charges</v>
      </c>
      <c r="B8" s="21" t="str">
        <f>'10 Chart of Accounts'!B7</f>
        <v>Direct Expenses</v>
      </c>
      <c r="C8" s="21" t="str">
        <f>'10 Chart of Accounts'!D7</f>
        <v>Direct Cost</v>
      </c>
      <c r="D8" s="20">
        <f t="shared" si="0"/>
        <v>0</v>
      </c>
      <c r="E8" s="20">
        <f t="shared" si="1"/>
        <v>0</v>
      </c>
    </row>
    <row r="9" spans="1:5" x14ac:dyDescent="0.35">
      <c r="A9" s="21" t="str">
        <f>'10 Chart of Accounts'!A8</f>
        <v>Subcontract Charges</v>
      </c>
      <c r="B9" s="21" t="str">
        <f>'10 Chart of Accounts'!B8</f>
        <v>Direct Expenses</v>
      </c>
      <c r="C9" s="21" t="str">
        <f>'10 Chart of Accounts'!D8</f>
        <v>Direct Cost</v>
      </c>
      <c r="D9" s="20">
        <f t="shared" si="0"/>
        <v>0</v>
      </c>
      <c r="E9" s="20">
        <f t="shared" si="1"/>
        <v>0</v>
      </c>
    </row>
    <row r="10" spans="1:5" x14ac:dyDescent="0.35">
      <c r="A10" s="21" t="str">
        <f>'10 Chart of Accounts'!A9</f>
        <v>Site Transport</v>
      </c>
      <c r="B10" s="21" t="str">
        <f>'10 Chart of Accounts'!B9</f>
        <v>Direct Expenses</v>
      </c>
      <c r="C10" s="21" t="str">
        <f>'10 Chart of Accounts'!D9</f>
        <v>Direct Cost</v>
      </c>
      <c r="D10" s="20">
        <f t="shared" si="0"/>
        <v>0</v>
      </c>
      <c r="E10" s="20">
        <f t="shared" si="1"/>
        <v>0</v>
      </c>
    </row>
    <row r="11" spans="1:5" x14ac:dyDescent="0.35">
      <c r="A11" s="21" t="str">
        <f>'10 Chart of Accounts'!A10</f>
        <v>Office Rent</v>
      </c>
      <c r="B11" s="21" t="str">
        <f>'10 Chart of Accounts'!B10</f>
        <v>Indirect Expenses</v>
      </c>
      <c r="C11" s="21" t="str">
        <f>'10 Chart of Accounts'!D10</f>
        <v>Indirect Cost</v>
      </c>
      <c r="D11" s="20">
        <f t="shared" si="0"/>
        <v>45000</v>
      </c>
      <c r="E11" s="20">
        <f t="shared" si="1"/>
        <v>0</v>
      </c>
    </row>
    <row r="12" spans="1:5" x14ac:dyDescent="0.35">
      <c r="A12" s="21" t="str">
        <f>'10 Chart of Accounts'!A11</f>
        <v>Office Salary</v>
      </c>
      <c r="B12" s="21" t="str">
        <f>'10 Chart of Accounts'!B11</f>
        <v>Indirect Expenses</v>
      </c>
      <c r="C12" s="21" t="str">
        <f>'10 Chart of Accounts'!D11</f>
        <v>Indirect Cost</v>
      </c>
      <c r="D12" s="20">
        <f t="shared" si="0"/>
        <v>0</v>
      </c>
      <c r="E12" s="20">
        <f t="shared" si="1"/>
        <v>0</v>
      </c>
    </row>
    <row r="13" spans="1:5" x14ac:dyDescent="0.35">
      <c r="A13" s="21" t="str">
        <f>'10 Chart of Accounts'!A12</f>
        <v>Admin Salary</v>
      </c>
      <c r="B13" s="21" t="str">
        <f>'10 Chart of Accounts'!B12</f>
        <v>Indirect Expenses</v>
      </c>
      <c r="C13" s="21" t="str">
        <f>'10 Chart of Accounts'!D12</f>
        <v>Indirect Cost</v>
      </c>
      <c r="D13" s="20">
        <f t="shared" si="0"/>
        <v>0</v>
      </c>
      <c r="E13" s="20">
        <f t="shared" si="1"/>
        <v>0</v>
      </c>
    </row>
    <row r="14" spans="1:5" x14ac:dyDescent="0.35">
      <c r="A14" s="21" t="str">
        <f>'10 Chart of Accounts'!A13</f>
        <v>Electricity Charges</v>
      </c>
      <c r="B14" s="21" t="str">
        <f>'10 Chart of Accounts'!B13</f>
        <v>Indirect Expenses</v>
      </c>
      <c r="C14" s="21" t="str">
        <f>'10 Chart of Accounts'!D13</f>
        <v>Indirect Cost</v>
      </c>
      <c r="D14" s="20">
        <f t="shared" si="0"/>
        <v>0</v>
      </c>
      <c r="E14" s="20">
        <f t="shared" si="1"/>
        <v>0</v>
      </c>
    </row>
    <row r="15" spans="1:5" x14ac:dyDescent="0.35">
      <c r="A15" s="21" t="str">
        <f>'10 Chart of Accounts'!A14</f>
        <v>Internet &amp; Telephone</v>
      </c>
      <c r="B15" s="21" t="str">
        <f>'10 Chart of Accounts'!B14</f>
        <v>Indirect Expenses</v>
      </c>
      <c r="C15" s="21" t="str">
        <f>'10 Chart of Accounts'!D14</f>
        <v>Indirect Cost</v>
      </c>
      <c r="D15" s="20">
        <f t="shared" si="0"/>
        <v>0</v>
      </c>
      <c r="E15" s="20">
        <f t="shared" si="1"/>
        <v>0</v>
      </c>
    </row>
    <row r="16" spans="1:5" x14ac:dyDescent="0.35">
      <c r="A16" s="21" t="str">
        <f>'10 Chart of Accounts'!A15</f>
        <v>Fuel Expenses</v>
      </c>
      <c r="B16" s="21" t="str">
        <f>'10 Chart of Accounts'!B15</f>
        <v>Indirect Expenses</v>
      </c>
      <c r="C16" s="21" t="str">
        <f>'10 Chart of Accounts'!D15</f>
        <v>Indirect Cost</v>
      </c>
      <c r="D16" s="20">
        <f t="shared" si="0"/>
        <v>0</v>
      </c>
      <c r="E16" s="20">
        <f t="shared" si="1"/>
        <v>0</v>
      </c>
    </row>
    <row r="17" spans="1:5" x14ac:dyDescent="0.35">
      <c r="A17" s="21" t="str">
        <f>'10 Chart of Accounts'!A16</f>
        <v>Marketing Expenses</v>
      </c>
      <c r="B17" s="21" t="str">
        <f>'10 Chart of Accounts'!B16</f>
        <v>Indirect Expenses</v>
      </c>
      <c r="C17" s="21" t="str">
        <f>'10 Chart of Accounts'!D16</f>
        <v>Indirect Cost</v>
      </c>
      <c r="D17" s="20">
        <f t="shared" si="0"/>
        <v>0</v>
      </c>
      <c r="E17" s="20">
        <f t="shared" si="1"/>
        <v>0</v>
      </c>
    </row>
    <row r="18" spans="1:5" x14ac:dyDescent="0.35">
      <c r="A18" s="21" t="str">
        <f>'10 Chart of Accounts'!A17</f>
        <v>Professional &amp; Audit Fees</v>
      </c>
      <c r="B18" s="21" t="str">
        <f>'10 Chart of Accounts'!B17</f>
        <v>Indirect Expenses</v>
      </c>
      <c r="C18" s="21" t="str">
        <f>'10 Chart of Accounts'!D17</f>
        <v>Indirect Cost</v>
      </c>
      <c r="D18" s="20">
        <f t="shared" si="0"/>
        <v>0</v>
      </c>
      <c r="E18" s="20">
        <f t="shared" si="1"/>
        <v>0</v>
      </c>
    </row>
    <row r="19" spans="1:5" x14ac:dyDescent="0.35">
      <c r="A19" s="21" t="str">
        <f>'10 Chart of Accounts'!A18</f>
        <v>Vehicle Running Expenses</v>
      </c>
      <c r="B19" s="21" t="str">
        <f>'10 Chart of Accounts'!B18</f>
        <v>Indirect Expenses</v>
      </c>
      <c r="C19" s="21" t="str">
        <f>'10 Chart of Accounts'!D18</f>
        <v>Indirect Cost</v>
      </c>
      <c r="D19" s="20">
        <f t="shared" si="0"/>
        <v>0</v>
      </c>
      <c r="E19" s="20">
        <f t="shared" si="1"/>
        <v>0</v>
      </c>
    </row>
    <row r="20" spans="1:5" x14ac:dyDescent="0.35">
      <c r="A20" s="21" t="str">
        <f>'10 Chart of Accounts'!A19</f>
        <v>Software &amp; Subscriptions</v>
      </c>
      <c r="B20" s="21" t="str">
        <f>'10 Chart of Accounts'!B19</f>
        <v>Indirect Expenses</v>
      </c>
      <c r="C20" s="21" t="str">
        <f>'10 Chart of Accounts'!D19</f>
        <v>Indirect Cost</v>
      </c>
      <c r="D20" s="20">
        <f t="shared" si="0"/>
        <v>0</v>
      </c>
      <c r="E20" s="20">
        <f t="shared" si="1"/>
        <v>0</v>
      </c>
    </row>
    <row r="21" spans="1:5" x14ac:dyDescent="0.35">
      <c r="A21" s="21" t="str">
        <f>'10 Chart of Accounts'!A20</f>
        <v>Printing &amp; Stationery</v>
      </c>
      <c r="B21" s="21" t="str">
        <f>'10 Chart of Accounts'!B20</f>
        <v>Indirect Expenses</v>
      </c>
      <c r="C21" s="21" t="str">
        <f>'10 Chart of Accounts'!D20</f>
        <v>Indirect Cost</v>
      </c>
      <c r="D21" s="20">
        <f t="shared" si="0"/>
        <v>0</v>
      </c>
      <c r="E21" s="20">
        <f t="shared" si="1"/>
        <v>0</v>
      </c>
    </row>
    <row r="22" spans="1:5" x14ac:dyDescent="0.35">
      <c r="A22" s="21" t="str">
        <f>'10 Chart of Accounts'!A21</f>
        <v>Factory Overhead</v>
      </c>
      <c r="B22" s="21" t="str">
        <f>'10 Chart of Accounts'!B21</f>
        <v>Indirect Expenses</v>
      </c>
      <c r="C22" s="21" t="str">
        <f>'10 Chart of Accounts'!D21</f>
        <v>Indirect Cost</v>
      </c>
      <c r="D22" s="20">
        <f t="shared" si="0"/>
        <v>0</v>
      </c>
      <c r="E22" s="20">
        <f t="shared" si="1"/>
        <v>0</v>
      </c>
    </row>
    <row r="23" spans="1:5" x14ac:dyDescent="0.35">
      <c r="A23" s="21" t="str">
        <f>'10 Chart of Accounts'!A22</f>
        <v>Sundry Debtors</v>
      </c>
      <c r="B23" s="21" t="str">
        <f>'10 Chart of Accounts'!B22</f>
        <v>Sundry Debtors</v>
      </c>
      <c r="C23" s="21" t="str">
        <f>'10 Chart of Accounts'!D22</f>
        <v>Asset</v>
      </c>
      <c r="D23" s="20">
        <f t="shared" si="0"/>
        <v>0</v>
      </c>
      <c r="E23" s="20">
        <f t="shared" si="1"/>
        <v>0</v>
      </c>
    </row>
    <row r="24" spans="1:5" x14ac:dyDescent="0.35">
      <c r="A24" s="21" t="str">
        <f>'10 Chart of Accounts'!A23</f>
        <v>Sundry Creditors</v>
      </c>
      <c r="B24" s="21" t="str">
        <f>'10 Chart of Accounts'!B23</f>
        <v>Sundry Creditors</v>
      </c>
      <c r="C24" s="21" t="str">
        <f>'10 Chart of Accounts'!D23</f>
        <v>Liability</v>
      </c>
      <c r="D24" s="20">
        <f t="shared" si="0"/>
        <v>0</v>
      </c>
      <c r="E24" s="20">
        <f t="shared" si="1"/>
        <v>0</v>
      </c>
    </row>
    <row r="25" spans="1:5" x14ac:dyDescent="0.35">
      <c r="A25" s="21" t="str">
        <f>'10 Chart of Accounts'!A24</f>
        <v>Customer Advance</v>
      </c>
      <c r="B25" s="21" t="str">
        <f>'10 Chart of Accounts'!B24</f>
        <v>Current Liabilities</v>
      </c>
      <c r="C25" s="21" t="str">
        <f>'10 Chart of Accounts'!D24</f>
        <v>Liability</v>
      </c>
      <c r="D25" s="20">
        <f t="shared" si="0"/>
        <v>0</v>
      </c>
      <c r="E25" s="20">
        <f t="shared" si="1"/>
        <v>0</v>
      </c>
    </row>
    <row r="26" spans="1:5" x14ac:dyDescent="0.35">
      <c r="A26" s="21" t="str">
        <f>'10 Chart of Accounts'!A25</f>
        <v>HDFC Bank - Old Co</v>
      </c>
      <c r="B26" s="21" t="str">
        <f>'10 Chart of Accounts'!B25</f>
        <v>Bank Accounts</v>
      </c>
      <c r="C26" s="21" t="str">
        <f>'10 Chart of Accounts'!D25</f>
        <v>Bank</v>
      </c>
      <c r="D26" s="20">
        <f t="shared" si="0"/>
        <v>0</v>
      </c>
      <c r="E26" s="20">
        <f t="shared" si="1"/>
        <v>0</v>
      </c>
    </row>
    <row r="27" spans="1:5" x14ac:dyDescent="0.35">
      <c r="A27" s="21" t="str">
        <f>'10 Chart of Accounts'!A26</f>
        <v>HDFC Bank - New Co</v>
      </c>
      <c r="B27" s="21" t="str">
        <f>'10 Chart of Accounts'!B26</f>
        <v>Bank Accounts</v>
      </c>
      <c r="C27" s="21" t="str">
        <f>'10 Chart of Accounts'!D26</f>
        <v>Bank</v>
      </c>
      <c r="D27" s="20">
        <f t="shared" si="0"/>
        <v>0</v>
      </c>
      <c r="E27" s="20">
        <f t="shared" si="1"/>
        <v>0</v>
      </c>
    </row>
    <row r="28" spans="1:5" x14ac:dyDescent="0.35">
      <c r="A28" s="21" t="str">
        <f>'10 Chart of Accounts'!A27</f>
        <v>Cash</v>
      </c>
      <c r="B28" s="21" t="str">
        <f>'10 Chart of Accounts'!B27</f>
        <v>Cash-in-Hand</v>
      </c>
      <c r="C28" s="21" t="str">
        <f>'10 Chart of Accounts'!D27</f>
        <v>Cash</v>
      </c>
      <c r="D28" s="20">
        <f t="shared" si="0"/>
        <v>0</v>
      </c>
      <c r="E28" s="20">
        <f t="shared" si="1"/>
        <v>0</v>
      </c>
    </row>
    <row r="29" spans="1:5" x14ac:dyDescent="0.35">
      <c r="A29" s="21" t="str">
        <f>'10 Chart of Accounts'!A28</f>
        <v>Raw Material Stock</v>
      </c>
      <c r="B29" s="21" t="str">
        <f>'10 Chart of Accounts'!B28</f>
        <v>Stock-in-Hand</v>
      </c>
      <c r="C29" s="21" t="str">
        <f>'10 Chart of Accounts'!D28</f>
        <v>Stock</v>
      </c>
      <c r="D29" s="20">
        <f t="shared" si="0"/>
        <v>0</v>
      </c>
      <c r="E29" s="20">
        <f t="shared" si="1"/>
        <v>0</v>
      </c>
    </row>
    <row r="30" spans="1:5" x14ac:dyDescent="0.35">
      <c r="A30" s="21" t="str">
        <f>'10 Chart of Accounts'!A29</f>
        <v>Output CGST/SGST/IGST</v>
      </c>
      <c r="B30" s="21" t="str">
        <f>'10 Chart of Accounts'!B29</f>
        <v>Duties &amp; Taxes</v>
      </c>
      <c r="C30" s="21" t="str">
        <f>'10 Chart of Accounts'!D29</f>
        <v>GST</v>
      </c>
      <c r="D30" s="20">
        <f t="shared" si="0"/>
        <v>0</v>
      </c>
      <c r="E30" s="20">
        <f t="shared" si="1"/>
        <v>0</v>
      </c>
    </row>
    <row r="31" spans="1:5" x14ac:dyDescent="0.35">
      <c r="A31" s="21" t="str">
        <f>'10 Chart of Accounts'!A30</f>
        <v>Input CGST/SGST/IGST</v>
      </c>
      <c r="B31" s="21" t="str">
        <f>'10 Chart of Accounts'!B30</f>
        <v>Duties &amp; Taxes</v>
      </c>
      <c r="C31" s="21" t="str">
        <f>'10 Chart of Accounts'!D30</f>
        <v>GST</v>
      </c>
      <c r="D31" s="20">
        <f t="shared" si="0"/>
        <v>0</v>
      </c>
      <c r="E31" s="20">
        <f t="shared" si="1"/>
        <v>0</v>
      </c>
    </row>
    <row r="32" spans="1:5" x14ac:dyDescent="0.35">
      <c r="A32" s="21" t="str">
        <f>'10 Chart of Accounts'!A31</f>
        <v>Bank Loan</v>
      </c>
      <c r="B32" s="21" t="str">
        <f>'10 Chart of Accounts'!B31</f>
        <v>Loans (Liability)</v>
      </c>
      <c r="C32" s="21" t="str">
        <f>'10 Chart of Accounts'!D31</f>
        <v>Loan</v>
      </c>
      <c r="D32" s="20">
        <f t="shared" si="0"/>
        <v>0</v>
      </c>
      <c r="E32" s="20">
        <f t="shared" si="1"/>
        <v>0</v>
      </c>
    </row>
    <row r="33" spans="1:5" x14ac:dyDescent="0.35">
      <c r="A33" s="21" t="str">
        <f>'10 Chart of Accounts'!A32</f>
        <v>Capital Account</v>
      </c>
      <c r="B33" s="21" t="str">
        <f>'10 Chart of Accounts'!B32</f>
        <v>Capital Account</v>
      </c>
      <c r="C33" s="21" t="str">
        <f>'10 Chart of Accounts'!D32</f>
        <v>Capital</v>
      </c>
      <c r="D33" s="20">
        <f t="shared" si="0"/>
        <v>0</v>
      </c>
      <c r="E33" s="20">
        <f t="shared" si="1"/>
        <v>0</v>
      </c>
    </row>
    <row r="34" spans="1:5" x14ac:dyDescent="0.35">
      <c r="A34" s="21" t="str">
        <f>'10 Chart of Accounts'!A33</f>
        <v>Intercompany - Old Co A/c</v>
      </c>
      <c r="B34" s="21" t="str">
        <f>'10 Chart of Accounts'!B33</f>
        <v>Intercompany</v>
      </c>
      <c r="C34" s="21" t="str">
        <f>'10 Chart of Accounts'!D33</f>
        <v>Intercompany</v>
      </c>
      <c r="D34" s="20">
        <f t="shared" si="0"/>
        <v>0</v>
      </c>
      <c r="E34" s="20">
        <f t="shared" si="1"/>
        <v>0</v>
      </c>
    </row>
    <row r="35" spans="1:5" x14ac:dyDescent="0.35">
      <c r="A35" s="21" t="str">
        <f>'10 Chart of Accounts'!A34</f>
        <v>Intercompany - New Co A/c</v>
      </c>
      <c r="B35" s="21" t="str">
        <f>'10 Chart of Accounts'!B34</f>
        <v>Intercompany</v>
      </c>
      <c r="C35" s="21" t="str">
        <f>'10 Chart of Accounts'!D34</f>
        <v>Intercompany</v>
      </c>
      <c r="D35" s="20">
        <f t="shared" si="0"/>
        <v>0</v>
      </c>
      <c r="E35" s="20">
        <f t="shared" si="1"/>
        <v>0</v>
      </c>
    </row>
    <row r="37" spans="1:5" x14ac:dyDescent="0.35">
      <c r="A37" s="7" t="s">
        <v>238</v>
      </c>
      <c r="D37" s="25">
        <f>SUM(D6:D35)</f>
        <v>45000</v>
      </c>
      <c r="E37" s="25">
        <f>SUM(E6:E35)</f>
        <v>0</v>
      </c>
    </row>
    <row r="38" spans="1:5" x14ac:dyDescent="0.35">
      <c r="A38" s="26" t="s">
        <v>239</v>
      </c>
      <c r="D38" s="27">
        <f>D37-E37</f>
        <v>45000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8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18" customWidth="1"/>
  </cols>
  <sheetData>
    <row r="1" spans="1:2" ht="18" x14ac:dyDescent="0.4">
      <c r="A1" s="2" t="s">
        <v>242</v>
      </c>
    </row>
    <row r="2" spans="1:2" x14ac:dyDescent="0.35">
      <c r="A2" s="3" t="s">
        <v>243</v>
      </c>
    </row>
    <row r="5" spans="1:2" x14ac:dyDescent="0.35">
      <c r="A5" s="36" t="s">
        <v>244</v>
      </c>
      <c r="B5" s="36"/>
    </row>
    <row r="6" spans="1:2" x14ac:dyDescent="0.35">
      <c r="A6" t="s">
        <v>113</v>
      </c>
      <c r="B6" s="22">
        <f>SUMIFS(TXN_CREDIT,TXN_LEDGER,"Sales - Interior Projects",TXN_FLAG,"OLD")-SUMIFS(TXN_DEBIT,TXN_LEDGER,"Sales - Interior Projects",TXN_FLAG,"OLD")</f>
        <v>950000</v>
      </c>
    </row>
    <row r="7" spans="1:2" x14ac:dyDescent="0.35">
      <c r="A7" s="7" t="s">
        <v>245</v>
      </c>
      <c r="B7" s="28">
        <f>SUM(B6:B6)</f>
        <v>950000</v>
      </c>
    </row>
    <row r="9" spans="1:2" x14ac:dyDescent="0.35">
      <c r="A9" s="36" t="s">
        <v>246</v>
      </c>
      <c r="B9" s="36"/>
    </row>
    <row r="10" spans="1:2" x14ac:dyDescent="0.35">
      <c r="A10" t="s">
        <v>119</v>
      </c>
      <c r="B10" s="22">
        <f>SUMIFS(TXN_DEBIT,TXN_LEDGER,"Site Material Purchase",TXN_FLAG,"OLD")-SUMIFS(TXN_CREDIT,TXN_LEDGER,"Site Material Purchase",TXN_FLAG,"OLD")</f>
        <v>185000</v>
      </c>
    </row>
    <row r="11" spans="1:2" x14ac:dyDescent="0.35">
      <c r="A11" t="s">
        <v>125</v>
      </c>
      <c r="B11" s="22">
        <f>SUMIFS(TXN_DEBIT,TXN_LEDGER,"Site Labour Charges",TXN_FLAG,"OLD")-SUMIFS(TXN_CREDIT,TXN_LEDGER,"Site Labour Charges",TXN_FLAG,"OLD")</f>
        <v>0</v>
      </c>
    </row>
    <row r="12" spans="1:2" x14ac:dyDescent="0.35">
      <c r="A12" t="s">
        <v>128</v>
      </c>
      <c r="B12" s="22">
        <f>SUMIFS(TXN_DEBIT,TXN_LEDGER,"Subcontract Charges",TXN_FLAG,"OLD")-SUMIFS(TXN_CREDIT,TXN_LEDGER,"Subcontract Charges",TXN_FLAG,"OLD")</f>
        <v>0</v>
      </c>
    </row>
    <row r="13" spans="1:2" x14ac:dyDescent="0.35">
      <c r="A13" t="s">
        <v>129</v>
      </c>
      <c r="B13" s="22">
        <f>SUMIFS(TXN_DEBIT,TXN_LEDGER,"Site Transport",TXN_FLAG,"OLD")-SUMIFS(TXN_CREDIT,TXN_LEDGER,"Site Transport",TXN_FLAG,"OLD")</f>
        <v>0</v>
      </c>
    </row>
    <row r="14" spans="1:2" x14ac:dyDescent="0.35">
      <c r="A14" t="s">
        <v>130</v>
      </c>
      <c r="B14" s="22">
        <f>SUMIFS(TXN_DEBIT,TXN_LEDGER,"Office Rent",TXN_FLAG,"OLD")-SUMIFS(TXN_CREDIT,TXN_LEDGER,"Office Rent",TXN_FLAG,"OLD")</f>
        <v>0</v>
      </c>
    </row>
    <row r="15" spans="1:2" x14ac:dyDescent="0.35">
      <c r="A15" t="s">
        <v>136</v>
      </c>
      <c r="B15" s="22">
        <f>SUMIFS(TXN_DEBIT,TXN_LEDGER,"Office Salary",TXN_FLAG,"OLD")-SUMIFS(TXN_CREDIT,TXN_LEDGER,"Office Salary",TXN_FLAG,"OLD")</f>
        <v>0</v>
      </c>
    </row>
    <row r="16" spans="1:2" x14ac:dyDescent="0.35">
      <c r="A16" t="s">
        <v>138</v>
      </c>
      <c r="B16" s="22">
        <f>SUMIFS(TXN_DEBIT,TXN_LEDGER,"Admin Salary",TXN_FLAG,"OLD")-SUMIFS(TXN_CREDIT,TXN_LEDGER,"Admin Salary",TXN_FLAG,"OLD")</f>
        <v>0</v>
      </c>
    </row>
    <row r="17" spans="1:2" x14ac:dyDescent="0.35">
      <c r="A17" t="s">
        <v>139</v>
      </c>
      <c r="B17" s="22">
        <f>SUMIFS(TXN_DEBIT,TXN_LEDGER,"Electricity Charges",TXN_FLAG,"OLD")-SUMIFS(TXN_CREDIT,TXN_LEDGER,"Electricity Charges",TXN_FLAG,"OLD")</f>
        <v>0</v>
      </c>
    </row>
    <row r="18" spans="1:2" x14ac:dyDescent="0.35">
      <c r="A18" t="s">
        <v>140</v>
      </c>
      <c r="B18" s="22">
        <f>SUMIFS(TXN_DEBIT,TXN_LEDGER,"Internet &amp; Telephone",TXN_FLAG,"OLD")-SUMIFS(TXN_CREDIT,TXN_LEDGER,"Internet &amp; Telephone",TXN_FLAG,"OLD")</f>
        <v>0</v>
      </c>
    </row>
    <row r="19" spans="1:2" x14ac:dyDescent="0.35">
      <c r="A19" t="s">
        <v>141</v>
      </c>
      <c r="B19" s="22">
        <f>SUMIFS(TXN_DEBIT,TXN_LEDGER,"Fuel Expenses",TXN_FLAG,"OLD")-SUMIFS(TXN_CREDIT,TXN_LEDGER,"Fuel Expenses",TXN_FLAG,"OLD")</f>
        <v>0</v>
      </c>
    </row>
    <row r="20" spans="1:2" x14ac:dyDescent="0.35">
      <c r="A20" t="s">
        <v>142</v>
      </c>
      <c r="B20" s="22">
        <f>SUMIFS(TXN_DEBIT,TXN_LEDGER,"Marketing Expenses",TXN_FLAG,"OLD")-SUMIFS(TXN_CREDIT,TXN_LEDGER,"Marketing Expenses",TXN_FLAG,"OLD")</f>
        <v>0</v>
      </c>
    </row>
    <row r="21" spans="1:2" x14ac:dyDescent="0.35">
      <c r="A21" t="s">
        <v>143</v>
      </c>
      <c r="B21" s="22">
        <f>SUMIFS(TXN_DEBIT,TXN_LEDGER,"Professional &amp; Audit Fees",TXN_FLAG,"OLD")-SUMIFS(TXN_CREDIT,TXN_LEDGER,"Professional &amp; Audit Fees",TXN_FLAG,"OLD")</f>
        <v>0</v>
      </c>
    </row>
    <row r="22" spans="1:2" x14ac:dyDescent="0.35">
      <c r="A22" t="s">
        <v>144</v>
      </c>
      <c r="B22" s="22">
        <f>SUMIFS(TXN_DEBIT,TXN_LEDGER,"Vehicle Running Expenses",TXN_FLAG,"OLD")-SUMIFS(TXN_CREDIT,TXN_LEDGER,"Vehicle Running Expenses",TXN_FLAG,"OLD")</f>
        <v>0</v>
      </c>
    </row>
    <row r="23" spans="1:2" x14ac:dyDescent="0.35">
      <c r="A23" t="s">
        <v>145</v>
      </c>
      <c r="B23" s="22">
        <f>SUMIFS(TXN_DEBIT,TXN_LEDGER,"Software &amp; Subscriptions",TXN_FLAG,"OLD")-SUMIFS(TXN_CREDIT,TXN_LEDGER,"Software &amp; Subscriptions",TXN_FLAG,"OLD")</f>
        <v>0</v>
      </c>
    </row>
    <row r="24" spans="1:2" x14ac:dyDescent="0.35">
      <c r="A24" t="s">
        <v>146</v>
      </c>
      <c r="B24" s="22">
        <f>SUMIFS(TXN_DEBIT,TXN_LEDGER,"Printing &amp; Stationery",TXN_FLAG,"OLD")-SUMIFS(TXN_CREDIT,TXN_LEDGER,"Printing &amp; Stationery",TXN_FLAG,"OLD")</f>
        <v>0</v>
      </c>
    </row>
    <row r="25" spans="1:2" x14ac:dyDescent="0.35">
      <c r="A25" t="s">
        <v>147</v>
      </c>
      <c r="B25" s="22">
        <f>SUMIFS(TXN_DEBIT,TXN_LEDGER,"Factory Overhead",TXN_FLAG,"OLD")-SUMIFS(TXN_CREDIT,TXN_LEDGER,"Factory Overhead",TXN_FLAG,"OLD")</f>
        <v>0</v>
      </c>
    </row>
    <row r="26" spans="1:2" x14ac:dyDescent="0.35">
      <c r="A26" s="7" t="s">
        <v>247</v>
      </c>
      <c r="B26" s="28">
        <f>SUM(B10:B25)</f>
        <v>185000</v>
      </c>
    </row>
    <row r="28" spans="1:2" ht="15.5" x14ac:dyDescent="0.35">
      <c r="A28" s="29" t="s">
        <v>248</v>
      </c>
      <c r="B28" s="30">
        <f>B7-B26</f>
        <v>765000</v>
      </c>
    </row>
  </sheetData>
  <mergeCells count="2">
    <mergeCell ref="A5:B5"/>
    <mergeCell ref="A9:B9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8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18" customWidth="1"/>
  </cols>
  <sheetData>
    <row r="1" spans="1:2" ht="18" x14ac:dyDescent="0.4">
      <c r="A1" s="2" t="s">
        <v>249</v>
      </c>
    </row>
    <row r="2" spans="1:2" x14ac:dyDescent="0.35">
      <c r="A2" s="3" t="s">
        <v>250</v>
      </c>
    </row>
    <row r="5" spans="1:2" x14ac:dyDescent="0.35">
      <c r="A5" s="36" t="s">
        <v>244</v>
      </c>
      <c r="B5" s="36"/>
    </row>
    <row r="6" spans="1:2" x14ac:dyDescent="0.35">
      <c r="A6" t="s">
        <v>113</v>
      </c>
      <c r="B6" s="22">
        <f>SUMIFS(TXN_CREDIT,TXN_LEDGER,"Sales - Interior Projects",TXN_FLAG,"NEW")-SUMIFS(TXN_DEBIT,TXN_LEDGER,"Sales - Interior Projects",TXN_FLAG,"NEW")</f>
        <v>0</v>
      </c>
    </row>
    <row r="7" spans="1:2" x14ac:dyDescent="0.35">
      <c r="A7" s="7" t="s">
        <v>245</v>
      </c>
      <c r="B7" s="28">
        <f>SUM(B6:B6)</f>
        <v>0</v>
      </c>
    </row>
    <row r="9" spans="1:2" x14ac:dyDescent="0.35">
      <c r="A9" s="36" t="s">
        <v>246</v>
      </c>
      <c r="B9" s="36"/>
    </row>
    <row r="10" spans="1:2" x14ac:dyDescent="0.35">
      <c r="A10" t="s">
        <v>119</v>
      </c>
      <c r="B10" s="22">
        <f>SUMIFS(TXN_DEBIT,TXN_LEDGER,"Site Material Purchase",TXN_FLAG,"NEW")-SUMIFS(TXN_CREDIT,TXN_LEDGER,"Site Material Purchase",TXN_FLAG,"NEW")</f>
        <v>0</v>
      </c>
    </row>
    <row r="11" spans="1:2" x14ac:dyDescent="0.35">
      <c r="A11" t="s">
        <v>125</v>
      </c>
      <c r="B11" s="22">
        <f>SUMIFS(TXN_DEBIT,TXN_LEDGER,"Site Labour Charges",TXN_FLAG,"NEW")-SUMIFS(TXN_CREDIT,TXN_LEDGER,"Site Labour Charges",TXN_FLAG,"NEW")</f>
        <v>0</v>
      </c>
    </row>
    <row r="12" spans="1:2" x14ac:dyDescent="0.35">
      <c r="A12" t="s">
        <v>128</v>
      </c>
      <c r="B12" s="22">
        <f>SUMIFS(TXN_DEBIT,TXN_LEDGER,"Subcontract Charges",TXN_FLAG,"NEW")-SUMIFS(TXN_CREDIT,TXN_LEDGER,"Subcontract Charges",TXN_FLAG,"NEW")</f>
        <v>0</v>
      </c>
    </row>
    <row r="13" spans="1:2" x14ac:dyDescent="0.35">
      <c r="A13" t="s">
        <v>129</v>
      </c>
      <c r="B13" s="22">
        <f>SUMIFS(TXN_DEBIT,TXN_LEDGER,"Site Transport",TXN_FLAG,"NEW")-SUMIFS(TXN_CREDIT,TXN_LEDGER,"Site Transport",TXN_FLAG,"NEW")</f>
        <v>0</v>
      </c>
    </row>
    <row r="14" spans="1:2" x14ac:dyDescent="0.35">
      <c r="A14" t="s">
        <v>130</v>
      </c>
      <c r="B14" s="22">
        <f>SUMIFS(TXN_DEBIT,TXN_LEDGER,"Office Rent",TXN_FLAG,"NEW")-SUMIFS(TXN_CREDIT,TXN_LEDGER,"Office Rent",TXN_FLAG,"NEW")</f>
        <v>45000</v>
      </c>
    </row>
    <row r="15" spans="1:2" x14ac:dyDescent="0.35">
      <c r="A15" t="s">
        <v>136</v>
      </c>
      <c r="B15" s="22">
        <f>SUMIFS(TXN_DEBIT,TXN_LEDGER,"Office Salary",TXN_FLAG,"NEW")-SUMIFS(TXN_CREDIT,TXN_LEDGER,"Office Salary",TXN_FLAG,"NEW")</f>
        <v>0</v>
      </c>
    </row>
    <row r="16" spans="1:2" x14ac:dyDescent="0.35">
      <c r="A16" t="s">
        <v>138</v>
      </c>
      <c r="B16" s="22">
        <f>SUMIFS(TXN_DEBIT,TXN_LEDGER,"Admin Salary",TXN_FLAG,"NEW")-SUMIFS(TXN_CREDIT,TXN_LEDGER,"Admin Salary",TXN_FLAG,"NEW")</f>
        <v>0</v>
      </c>
    </row>
    <row r="17" spans="1:2" x14ac:dyDescent="0.35">
      <c r="A17" t="s">
        <v>139</v>
      </c>
      <c r="B17" s="22">
        <f>SUMIFS(TXN_DEBIT,TXN_LEDGER,"Electricity Charges",TXN_FLAG,"NEW")-SUMIFS(TXN_CREDIT,TXN_LEDGER,"Electricity Charges",TXN_FLAG,"NEW")</f>
        <v>0</v>
      </c>
    </row>
    <row r="18" spans="1:2" x14ac:dyDescent="0.35">
      <c r="A18" t="s">
        <v>140</v>
      </c>
      <c r="B18" s="22">
        <f>SUMIFS(TXN_DEBIT,TXN_LEDGER,"Internet &amp; Telephone",TXN_FLAG,"NEW")-SUMIFS(TXN_CREDIT,TXN_LEDGER,"Internet &amp; Telephone",TXN_FLAG,"NEW")</f>
        <v>0</v>
      </c>
    </row>
    <row r="19" spans="1:2" x14ac:dyDescent="0.35">
      <c r="A19" t="s">
        <v>141</v>
      </c>
      <c r="B19" s="22">
        <f>SUMIFS(TXN_DEBIT,TXN_LEDGER,"Fuel Expenses",TXN_FLAG,"NEW")-SUMIFS(TXN_CREDIT,TXN_LEDGER,"Fuel Expenses",TXN_FLAG,"NEW")</f>
        <v>0</v>
      </c>
    </row>
    <row r="20" spans="1:2" x14ac:dyDescent="0.35">
      <c r="A20" t="s">
        <v>142</v>
      </c>
      <c r="B20" s="22">
        <f>SUMIFS(TXN_DEBIT,TXN_LEDGER,"Marketing Expenses",TXN_FLAG,"NEW")-SUMIFS(TXN_CREDIT,TXN_LEDGER,"Marketing Expenses",TXN_FLAG,"NEW")</f>
        <v>0</v>
      </c>
    </row>
    <row r="21" spans="1:2" x14ac:dyDescent="0.35">
      <c r="A21" t="s">
        <v>143</v>
      </c>
      <c r="B21" s="22">
        <f>SUMIFS(TXN_DEBIT,TXN_LEDGER,"Professional &amp; Audit Fees",TXN_FLAG,"NEW")-SUMIFS(TXN_CREDIT,TXN_LEDGER,"Professional &amp; Audit Fees",TXN_FLAG,"NEW")</f>
        <v>0</v>
      </c>
    </row>
    <row r="22" spans="1:2" x14ac:dyDescent="0.35">
      <c r="A22" t="s">
        <v>144</v>
      </c>
      <c r="B22" s="22">
        <f>SUMIFS(TXN_DEBIT,TXN_LEDGER,"Vehicle Running Expenses",TXN_FLAG,"NEW")-SUMIFS(TXN_CREDIT,TXN_LEDGER,"Vehicle Running Expenses",TXN_FLAG,"NEW")</f>
        <v>0</v>
      </c>
    </row>
    <row r="23" spans="1:2" x14ac:dyDescent="0.35">
      <c r="A23" t="s">
        <v>145</v>
      </c>
      <c r="B23" s="22">
        <f>SUMIFS(TXN_DEBIT,TXN_LEDGER,"Software &amp; Subscriptions",TXN_FLAG,"NEW")-SUMIFS(TXN_CREDIT,TXN_LEDGER,"Software &amp; Subscriptions",TXN_FLAG,"NEW")</f>
        <v>0</v>
      </c>
    </row>
    <row r="24" spans="1:2" x14ac:dyDescent="0.35">
      <c r="A24" t="s">
        <v>146</v>
      </c>
      <c r="B24" s="22">
        <f>SUMIFS(TXN_DEBIT,TXN_LEDGER,"Printing &amp; Stationery",TXN_FLAG,"NEW")-SUMIFS(TXN_CREDIT,TXN_LEDGER,"Printing &amp; Stationery",TXN_FLAG,"NEW")</f>
        <v>0</v>
      </c>
    </row>
    <row r="25" spans="1:2" x14ac:dyDescent="0.35">
      <c r="A25" t="s">
        <v>147</v>
      </c>
      <c r="B25" s="22">
        <f>SUMIFS(TXN_DEBIT,TXN_LEDGER,"Factory Overhead",TXN_FLAG,"NEW")-SUMIFS(TXN_CREDIT,TXN_LEDGER,"Factory Overhead",TXN_FLAG,"NEW")</f>
        <v>0</v>
      </c>
    </row>
    <row r="26" spans="1:2" x14ac:dyDescent="0.35">
      <c r="A26" s="7" t="s">
        <v>247</v>
      </c>
      <c r="B26" s="28">
        <f>SUM(B10:B25)</f>
        <v>45000</v>
      </c>
    </row>
    <row r="28" spans="1:2" ht="15.5" x14ac:dyDescent="0.35">
      <c r="A28" s="29" t="s">
        <v>248</v>
      </c>
      <c r="B28" s="30">
        <f>B7-B26</f>
        <v>-45000</v>
      </c>
    </row>
  </sheetData>
  <mergeCells count="2">
    <mergeCell ref="A5:B5"/>
    <mergeCell ref="A9:B9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4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18" customWidth="1"/>
  </cols>
  <sheetData>
    <row r="1" spans="1:2" ht="18" x14ac:dyDescent="0.4">
      <c r="A1" s="2" t="s">
        <v>251</v>
      </c>
    </row>
    <row r="2" spans="1:2" x14ac:dyDescent="0.35">
      <c r="A2" s="3" t="s">
        <v>252</v>
      </c>
    </row>
    <row r="5" spans="1:2" x14ac:dyDescent="0.35">
      <c r="A5" s="36" t="s">
        <v>253</v>
      </c>
      <c r="B5" s="36"/>
    </row>
    <row r="6" spans="1:2" x14ac:dyDescent="0.35">
      <c r="A6" t="s">
        <v>148</v>
      </c>
      <c r="B6" s="22">
        <f>SUMIFS(TXN_DEBIT,TXN_LEDGER,"Sundry Debtors",TXN_FLAG,"OLD")-SUMIFS(TXN_CREDIT,TXN_LEDGER,"Sundry Debtors",TXN_FLAG,"OLD")</f>
        <v>0</v>
      </c>
    </row>
    <row r="7" spans="1:2" x14ac:dyDescent="0.35">
      <c r="A7" t="s">
        <v>156</v>
      </c>
      <c r="B7" s="22">
        <f>SUMIFS(TXN_DEBIT,TXN_LEDGER,"HDFC Bank - Old Co",TXN_FLAG,"OLD")-SUMIFS(TXN_CREDIT,TXN_LEDGER,"HDFC Bank - Old Co",TXN_FLAG,"OLD")</f>
        <v>0</v>
      </c>
    </row>
    <row r="8" spans="1:2" x14ac:dyDescent="0.35">
      <c r="A8" t="s">
        <v>159</v>
      </c>
      <c r="B8" s="22">
        <f>SUMIFS(TXN_DEBIT,TXN_LEDGER,"HDFC Bank - New Co",TXN_FLAG,"OLD")-SUMIFS(TXN_CREDIT,TXN_LEDGER,"HDFC Bank - New Co",TXN_FLAG,"OLD")</f>
        <v>0</v>
      </c>
    </row>
    <row r="9" spans="1:2" x14ac:dyDescent="0.35">
      <c r="A9" t="s">
        <v>160</v>
      </c>
      <c r="B9" s="22">
        <f>SUMIFS(TXN_DEBIT,TXN_LEDGER,"Cash",TXN_FLAG,"OLD")-SUMIFS(TXN_CREDIT,TXN_LEDGER,"Cash",TXN_FLAG,"OLD")</f>
        <v>0</v>
      </c>
    </row>
    <row r="10" spans="1:2" x14ac:dyDescent="0.35">
      <c r="A10" t="s">
        <v>162</v>
      </c>
      <c r="B10" s="22">
        <f>SUMIFS(TXN_DEBIT,TXN_LEDGER,"Raw Material Stock",TXN_FLAG,"OLD")-SUMIFS(TXN_CREDIT,TXN_LEDGER,"Raw Material Stock",TXN_FLAG,"OLD")</f>
        <v>0</v>
      </c>
    </row>
    <row r="11" spans="1:2" x14ac:dyDescent="0.35">
      <c r="A11" t="s">
        <v>254</v>
      </c>
      <c r="B11" s="22">
        <f>'12 Intercompany Ledger'!B8</f>
        <v>0</v>
      </c>
    </row>
    <row r="12" spans="1:2" x14ac:dyDescent="0.35">
      <c r="A12" s="7" t="s">
        <v>255</v>
      </c>
      <c r="B12" s="25">
        <f>SUM(B6:B11)</f>
        <v>0</v>
      </c>
    </row>
    <row r="14" spans="1:2" x14ac:dyDescent="0.35">
      <c r="A14" s="36" t="s">
        <v>256</v>
      </c>
      <c r="B14" s="36"/>
    </row>
    <row r="15" spans="1:2" x14ac:dyDescent="0.35">
      <c r="A15" t="s">
        <v>151</v>
      </c>
      <c r="B15" s="22">
        <f>SUMIFS(TXN_CREDIT,TXN_LEDGER,"Sundry Creditors",TXN_FLAG,"OLD")-SUMIFS(TXN_DEBIT,TXN_LEDGER,"Sundry Creditors",TXN_FLAG,"OLD")</f>
        <v>0</v>
      </c>
    </row>
    <row r="16" spans="1:2" x14ac:dyDescent="0.35">
      <c r="A16" t="s">
        <v>153</v>
      </c>
      <c r="B16" s="22">
        <f>SUMIFS(TXN_CREDIT,TXN_LEDGER,"Customer Advance",TXN_FLAG,"OLD")-SUMIFS(TXN_DEBIT,TXN_LEDGER,"Customer Advance",TXN_FLAG,"OLD")</f>
        <v>0</v>
      </c>
    </row>
    <row r="17" spans="1:2" x14ac:dyDescent="0.35">
      <c r="A17" t="s">
        <v>170</v>
      </c>
      <c r="B17" s="22">
        <f>SUMIFS(TXN_CREDIT,TXN_LEDGER,"Bank Loan",TXN_FLAG,"OLD")-SUMIFS(TXN_DEBIT,TXN_LEDGER,"Bank Loan",TXN_FLAG,"OLD")</f>
        <v>0</v>
      </c>
    </row>
    <row r="18" spans="1:2" x14ac:dyDescent="0.35">
      <c r="A18" t="s">
        <v>173</v>
      </c>
      <c r="B18" s="22">
        <f>SUMIFS(TXN_CREDIT,TXN_LEDGER,"Capital Account",TXN_FLAG,"OLD")-SUMIFS(TXN_DEBIT,TXN_LEDGER,"Capital Account",TXN_FLAG,"OLD")</f>
        <v>0</v>
      </c>
    </row>
    <row r="19" spans="1:2" x14ac:dyDescent="0.35">
      <c r="A19" t="s">
        <v>254</v>
      </c>
      <c r="B19" s="22">
        <f>0</f>
        <v>0</v>
      </c>
    </row>
    <row r="20" spans="1:2" x14ac:dyDescent="0.35">
      <c r="A20" s="7" t="s">
        <v>257</v>
      </c>
      <c r="B20" s="25">
        <f>SUM(B15:B19)</f>
        <v>0</v>
      </c>
    </row>
    <row r="22" spans="1:2" x14ac:dyDescent="0.35">
      <c r="A22" s="24" t="s">
        <v>258</v>
      </c>
      <c r="B22" s="19">
        <v>0</v>
      </c>
    </row>
    <row r="24" spans="1:2" x14ac:dyDescent="0.35">
      <c r="A24" s="7" t="s">
        <v>259</v>
      </c>
      <c r="B24" s="31">
        <f>B12-B20</f>
        <v>0</v>
      </c>
    </row>
  </sheetData>
  <mergeCells count="2">
    <mergeCell ref="A5:B5"/>
    <mergeCell ref="A14:B1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4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18" customWidth="1"/>
  </cols>
  <sheetData>
    <row r="1" spans="1:2" ht="18" x14ac:dyDescent="0.4">
      <c r="A1" s="2" t="s">
        <v>260</v>
      </c>
    </row>
    <row r="2" spans="1:2" x14ac:dyDescent="0.35">
      <c r="A2" s="3" t="s">
        <v>261</v>
      </c>
    </row>
    <row r="5" spans="1:2" x14ac:dyDescent="0.35">
      <c r="A5" s="36" t="s">
        <v>253</v>
      </c>
      <c r="B5" s="36"/>
    </row>
    <row r="6" spans="1:2" x14ac:dyDescent="0.35">
      <c r="A6" t="s">
        <v>148</v>
      </c>
      <c r="B6" s="22">
        <f>SUMIFS(TXN_DEBIT,TXN_LEDGER,"Sundry Debtors",TXN_FLAG,"NEW")-SUMIFS(TXN_CREDIT,TXN_LEDGER,"Sundry Debtors",TXN_FLAG,"NEW")</f>
        <v>0</v>
      </c>
    </row>
    <row r="7" spans="1:2" x14ac:dyDescent="0.35">
      <c r="A7" t="s">
        <v>156</v>
      </c>
      <c r="B7" s="22">
        <f>SUMIFS(TXN_DEBIT,TXN_LEDGER,"HDFC Bank - Old Co",TXN_FLAG,"NEW")-SUMIFS(TXN_CREDIT,TXN_LEDGER,"HDFC Bank - Old Co",TXN_FLAG,"NEW")</f>
        <v>0</v>
      </c>
    </row>
    <row r="8" spans="1:2" x14ac:dyDescent="0.35">
      <c r="A8" t="s">
        <v>159</v>
      </c>
      <c r="B8" s="22">
        <f>SUMIFS(TXN_DEBIT,TXN_LEDGER,"HDFC Bank - New Co",TXN_FLAG,"NEW")-SUMIFS(TXN_CREDIT,TXN_LEDGER,"HDFC Bank - New Co",TXN_FLAG,"NEW")</f>
        <v>0</v>
      </c>
    </row>
    <row r="9" spans="1:2" x14ac:dyDescent="0.35">
      <c r="A9" t="s">
        <v>160</v>
      </c>
      <c r="B9" s="22">
        <f>SUMIFS(TXN_DEBIT,TXN_LEDGER,"Cash",TXN_FLAG,"NEW")-SUMIFS(TXN_CREDIT,TXN_LEDGER,"Cash",TXN_FLAG,"NEW")</f>
        <v>0</v>
      </c>
    </row>
    <row r="10" spans="1:2" x14ac:dyDescent="0.35">
      <c r="A10" t="s">
        <v>162</v>
      </c>
      <c r="B10" s="22">
        <f>SUMIFS(TXN_DEBIT,TXN_LEDGER,"Raw Material Stock",TXN_FLAG,"NEW")-SUMIFS(TXN_CREDIT,TXN_LEDGER,"Raw Material Stock",TXN_FLAG,"NEW")</f>
        <v>0</v>
      </c>
    </row>
    <row r="11" spans="1:2" x14ac:dyDescent="0.35">
      <c r="A11" t="s">
        <v>254</v>
      </c>
      <c r="B11" s="22">
        <f>'12 Intercompany Ledger'!B8</f>
        <v>0</v>
      </c>
    </row>
    <row r="12" spans="1:2" x14ac:dyDescent="0.35">
      <c r="A12" s="7" t="s">
        <v>255</v>
      </c>
      <c r="B12" s="25">
        <f>SUM(B6:B11)</f>
        <v>0</v>
      </c>
    </row>
    <row r="14" spans="1:2" x14ac:dyDescent="0.35">
      <c r="A14" s="36" t="s">
        <v>256</v>
      </c>
      <c r="B14" s="36"/>
    </row>
    <row r="15" spans="1:2" x14ac:dyDescent="0.35">
      <c r="A15" t="s">
        <v>151</v>
      </c>
      <c r="B15" s="22">
        <f>SUMIFS(TXN_CREDIT,TXN_LEDGER,"Sundry Creditors",TXN_FLAG,"NEW")-SUMIFS(TXN_DEBIT,TXN_LEDGER,"Sundry Creditors",TXN_FLAG,"NEW")</f>
        <v>0</v>
      </c>
    </row>
    <row r="16" spans="1:2" x14ac:dyDescent="0.35">
      <c r="A16" t="s">
        <v>153</v>
      </c>
      <c r="B16" s="22">
        <f>SUMIFS(TXN_CREDIT,TXN_LEDGER,"Customer Advance",TXN_FLAG,"NEW")-SUMIFS(TXN_DEBIT,TXN_LEDGER,"Customer Advance",TXN_FLAG,"NEW")</f>
        <v>0</v>
      </c>
    </row>
    <row r="17" spans="1:2" x14ac:dyDescent="0.35">
      <c r="A17" t="s">
        <v>170</v>
      </c>
      <c r="B17" s="22">
        <f>SUMIFS(TXN_CREDIT,TXN_LEDGER,"Bank Loan",TXN_FLAG,"NEW")-SUMIFS(TXN_DEBIT,TXN_LEDGER,"Bank Loan",TXN_FLAG,"NEW")</f>
        <v>0</v>
      </c>
    </row>
    <row r="18" spans="1:2" x14ac:dyDescent="0.35">
      <c r="A18" t="s">
        <v>173</v>
      </c>
      <c r="B18" s="22">
        <f>SUMIFS(TXN_CREDIT,TXN_LEDGER,"Capital Account",TXN_FLAG,"NEW")-SUMIFS(TXN_DEBIT,TXN_LEDGER,"Capital Account",TXN_FLAG,"NEW")</f>
        <v>0</v>
      </c>
    </row>
    <row r="19" spans="1:2" x14ac:dyDescent="0.35">
      <c r="A19" t="s">
        <v>254</v>
      </c>
      <c r="B19" s="22">
        <f>0</f>
        <v>0</v>
      </c>
    </row>
    <row r="20" spans="1:2" x14ac:dyDescent="0.35">
      <c r="A20" s="7" t="s">
        <v>257</v>
      </c>
      <c r="B20" s="25">
        <f>SUM(B15:B19)</f>
        <v>0</v>
      </c>
    </row>
    <row r="22" spans="1:2" x14ac:dyDescent="0.35">
      <c r="A22" s="24" t="s">
        <v>258</v>
      </c>
      <c r="B22" s="19">
        <v>0</v>
      </c>
    </row>
    <row r="24" spans="1:2" x14ac:dyDescent="0.35">
      <c r="A24" s="7" t="s">
        <v>259</v>
      </c>
      <c r="B24" s="31">
        <f>B12-B20</f>
        <v>0</v>
      </c>
    </row>
  </sheetData>
  <mergeCells count="2">
    <mergeCell ref="A5:B5"/>
    <mergeCell ref="A14:B1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7"/>
  <sheetViews>
    <sheetView zoomScaleNormal="100" workbookViewId="0"/>
  </sheetViews>
  <sheetFormatPr defaultColWidth="8.6328125" defaultRowHeight="14.5" x14ac:dyDescent="0.35"/>
  <cols>
    <col min="1" max="1" width="30" customWidth="1"/>
    <col min="2" max="3" width="20" customWidth="1"/>
  </cols>
  <sheetData>
    <row r="1" spans="1:3" ht="18" x14ac:dyDescent="0.4">
      <c r="A1" s="2" t="s">
        <v>262</v>
      </c>
    </row>
    <row r="2" spans="1:3" x14ac:dyDescent="0.35">
      <c r="A2" s="3" t="s">
        <v>263</v>
      </c>
    </row>
    <row r="5" spans="1:3" ht="30" customHeight="1" x14ac:dyDescent="0.35">
      <c r="A5" s="10"/>
      <c r="B5" s="10" t="s">
        <v>116</v>
      </c>
      <c r="C5" s="10" t="s">
        <v>133</v>
      </c>
    </row>
    <row r="6" spans="1:3" x14ac:dyDescent="0.35">
      <c r="A6" t="s">
        <v>264</v>
      </c>
      <c r="B6" s="12">
        <v>0</v>
      </c>
      <c r="C6" s="12">
        <v>0</v>
      </c>
    </row>
    <row r="7" spans="1:3" x14ac:dyDescent="0.35">
      <c r="A7" t="s">
        <v>265</v>
      </c>
      <c r="B7" s="22">
        <f>SUMIFS(TXN_DEBIT,TXN_FLAG,"OLD",TXN_BANK,"&lt;&gt;")</f>
        <v>185000</v>
      </c>
      <c r="C7" s="22">
        <f>SUMIFS(TXN_DEBIT,TXN_FLAG,"NEW",TXN_BANK,"&lt;&gt;")</f>
        <v>45000</v>
      </c>
    </row>
    <row r="8" spans="1:3" x14ac:dyDescent="0.35">
      <c r="A8" t="s">
        <v>266</v>
      </c>
      <c r="B8" s="22">
        <f>SUMIFS(TXN_CREDIT,TXN_FLAG,"OLD",TXN_BANK,"&lt;&gt;")</f>
        <v>950000</v>
      </c>
      <c r="C8" s="22">
        <f>SUMIFS(TXN_CREDIT,TXN_FLAG,"NEW",TXN_BANK,"&lt;&gt;")</f>
        <v>0</v>
      </c>
    </row>
    <row r="9" spans="1:3" x14ac:dyDescent="0.35">
      <c r="A9" s="7" t="s">
        <v>267</v>
      </c>
      <c r="B9" s="25">
        <f>B6+B7-B8</f>
        <v>-765000</v>
      </c>
      <c r="C9" s="25">
        <f>C6+C7-C8</f>
        <v>45000</v>
      </c>
    </row>
    <row r="11" spans="1:3" x14ac:dyDescent="0.35">
      <c r="A11" t="s">
        <v>268</v>
      </c>
      <c r="B11" s="12">
        <v>0</v>
      </c>
      <c r="C11" s="12">
        <v>0</v>
      </c>
    </row>
    <row r="12" spans="1:3" x14ac:dyDescent="0.35">
      <c r="A12" s="7" t="s">
        <v>239</v>
      </c>
      <c r="B12" s="32">
        <f>B9-B11</f>
        <v>-765000</v>
      </c>
      <c r="C12" s="32">
        <f>C9-C11</f>
        <v>45000</v>
      </c>
    </row>
    <row r="15" spans="1:3" x14ac:dyDescent="0.35">
      <c r="A15" s="15" t="s">
        <v>60</v>
      </c>
    </row>
    <row r="16" spans="1:3" x14ac:dyDescent="0.35">
      <c r="A16" s="16" t="s">
        <v>269</v>
      </c>
    </row>
    <row r="17" spans="1:1" x14ac:dyDescent="0.35">
      <c r="A17" s="16" t="s">
        <v>270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7"/>
  <sheetViews>
    <sheetView zoomScaleNormal="100" workbookViewId="0"/>
  </sheetViews>
  <sheetFormatPr defaultColWidth="8.6328125" defaultRowHeight="14.5" x14ac:dyDescent="0.35"/>
  <cols>
    <col min="1" max="1" width="30" customWidth="1"/>
    <col min="2" max="3" width="20" customWidth="1"/>
  </cols>
  <sheetData>
    <row r="1" spans="1:3" ht="18" x14ac:dyDescent="0.4">
      <c r="A1" s="2" t="s">
        <v>271</v>
      </c>
    </row>
    <row r="2" spans="1:3" x14ac:dyDescent="0.35">
      <c r="A2" s="3" t="s">
        <v>263</v>
      </c>
    </row>
    <row r="5" spans="1:3" ht="30" customHeight="1" x14ac:dyDescent="0.35">
      <c r="A5" s="10"/>
      <c r="B5" s="10" t="s">
        <v>116</v>
      </c>
      <c r="C5" s="10" t="s">
        <v>133</v>
      </c>
    </row>
    <row r="6" spans="1:3" x14ac:dyDescent="0.35">
      <c r="A6" t="s">
        <v>264</v>
      </c>
      <c r="B6" s="12">
        <v>0</v>
      </c>
      <c r="C6" s="12">
        <v>0</v>
      </c>
    </row>
    <row r="7" spans="1:3" x14ac:dyDescent="0.35">
      <c r="A7" t="s">
        <v>272</v>
      </c>
      <c r="B7" s="22">
        <f>SUMIFS(TXN_DEBIT,TXN_FLAG,"OLD",TXN_CASH,"&lt;&gt;")</f>
        <v>0</v>
      </c>
      <c r="C7" s="22">
        <f>SUMIFS(TXN_DEBIT,TXN_FLAG,"NEW",TXN_CASH,"&lt;&gt;")</f>
        <v>0</v>
      </c>
    </row>
    <row r="8" spans="1:3" x14ac:dyDescent="0.35">
      <c r="A8" t="s">
        <v>273</v>
      </c>
      <c r="B8" s="22">
        <f>SUMIFS(TXN_CREDIT,TXN_FLAG,"OLD",TXN_CASH,"&lt;&gt;")</f>
        <v>0</v>
      </c>
      <c r="C8" s="22">
        <f>SUMIFS(TXN_CREDIT,TXN_FLAG,"NEW",TXN_CASH,"&lt;&gt;")</f>
        <v>0</v>
      </c>
    </row>
    <row r="9" spans="1:3" x14ac:dyDescent="0.35">
      <c r="A9" s="7" t="s">
        <v>267</v>
      </c>
      <c r="B9" s="25">
        <f>B6+B7-B8</f>
        <v>0</v>
      </c>
      <c r="C9" s="25">
        <f>C6+C7-C8</f>
        <v>0</v>
      </c>
    </row>
    <row r="11" spans="1:3" x14ac:dyDescent="0.35">
      <c r="A11" t="s">
        <v>274</v>
      </c>
      <c r="B11" s="12">
        <v>0</v>
      </c>
      <c r="C11" s="12">
        <v>0</v>
      </c>
    </row>
    <row r="12" spans="1:3" x14ac:dyDescent="0.35">
      <c r="A12" s="7" t="s">
        <v>239</v>
      </c>
      <c r="B12" s="32">
        <f>B9-B11</f>
        <v>0</v>
      </c>
      <c r="C12" s="32">
        <f>C9-C11</f>
        <v>0</v>
      </c>
    </row>
    <row r="15" spans="1:3" x14ac:dyDescent="0.35">
      <c r="A15" s="15" t="s">
        <v>60</v>
      </c>
    </row>
    <row r="16" spans="1:3" x14ac:dyDescent="0.35">
      <c r="A16" s="16" t="s">
        <v>275</v>
      </c>
    </row>
    <row r="17" spans="1:1" x14ac:dyDescent="0.35">
      <c r="A17" s="16" t="s">
        <v>270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3"/>
  <sheetViews>
    <sheetView zoomScaleNormal="100" workbookViewId="0"/>
  </sheetViews>
  <sheetFormatPr defaultColWidth="8.6328125" defaultRowHeight="14.5" x14ac:dyDescent="0.35"/>
  <cols>
    <col min="1" max="1" width="24" customWidth="1"/>
    <col min="2" max="2" width="10" customWidth="1"/>
    <col min="3" max="3" width="8" customWidth="1"/>
    <col min="4" max="4" width="12" customWidth="1"/>
    <col min="5" max="5" width="14" customWidth="1"/>
    <col min="6" max="6" width="16" customWidth="1"/>
    <col min="7" max="7" width="18" customWidth="1"/>
    <col min="8" max="8" width="16" customWidth="1"/>
    <col min="9" max="9" width="12" customWidth="1"/>
  </cols>
  <sheetData>
    <row r="1" spans="1:9" ht="18" x14ac:dyDescent="0.4">
      <c r="A1" s="2" t="s">
        <v>276</v>
      </c>
    </row>
    <row r="2" spans="1:9" x14ac:dyDescent="0.35">
      <c r="A2" s="3" t="s">
        <v>277</v>
      </c>
    </row>
    <row r="5" spans="1:9" ht="30" customHeight="1" x14ac:dyDescent="0.35">
      <c r="A5" s="10" t="s">
        <v>278</v>
      </c>
      <c r="B5" s="10" t="s">
        <v>279</v>
      </c>
      <c r="C5" s="10" t="s">
        <v>78</v>
      </c>
      <c r="D5" s="10" t="s">
        <v>280</v>
      </c>
      <c r="E5" s="10" t="s">
        <v>281</v>
      </c>
      <c r="F5" s="10" t="s">
        <v>282</v>
      </c>
      <c r="G5" s="10" t="s">
        <v>283</v>
      </c>
      <c r="H5" s="10" t="s">
        <v>284</v>
      </c>
      <c r="I5" s="10" t="s">
        <v>48</v>
      </c>
    </row>
    <row r="6" spans="1:9" x14ac:dyDescent="0.35">
      <c r="A6" s="17" t="s">
        <v>285</v>
      </c>
      <c r="B6" s="17">
        <v>120</v>
      </c>
      <c r="C6" s="17" t="s">
        <v>286</v>
      </c>
      <c r="D6" s="19">
        <v>2450</v>
      </c>
      <c r="E6" s="20">
        <f>B6*D6</f>
        <v>294000</v>
      </c>
      <c r="F6" s="17" t="s">
        <v>287</v>
      </c>
      <c r="G6" s="17" t="s">
        <v>288</v>
      </c>
      <c r="H6" s="17" t="s">
        <v>289</v>
      </c>
      <c r="I6" s="18" t="s">
        <v>290</v>
      </c>
    </row>
    <row r="7" spans="1:9" x14ac:dyDescent="0.35">
      <c r="A7" s="17" t="s">
        <v>291</v>
      </c>
      <c r="B7" s="17">
        <v>300</v>
      </c>
      <c r="C7" s="17" t="s">
        <v>286</v>
      </c>
      <c r="D7" s="19">
        <v>950</v>
      </c>
      <c r="E7" s="20">
        <f>B7*D7</f>
        <v>285000</v>
      </c>
      <c r="F7" s="17" t="s">
        <v>287</v>
      </c>
      <c r="G7" s="17" t="s">
        <v>288</v>
      </c>
      <c r="H7" s="17" t="s">
        <v>289</v>
      </c>
      <c r="I7" s="18" t="s">
        <v>290</v>
      </c>
    </row>
    <row r="8" spans="1:9" x14ac:dyDescent="0.35">
      <c r="A8" s="7" t="s">
        <v>292</v>
      </c>
      <c r="E8" s="28">
        <f>SUM(E6:E7)</f>
        <v>579000</v>
      </c>
    </row>
    <row r="10" spans="1:9" x14ac:dyDescent="0.35">
      <c r="A10" s="15" t="s">
        <v>60</v>
      </c>
    </row>
    <row r="11" spans="1:9" x14ac:dyDescent="0.35">
      <c r="A11" s="16" t="s">
        <v>293</v>
      </c>
    </row>
    <row r="12" spans="1:9" x14ac:dyDescent="0.35">
      <c r="A12" s="16" t="s">
        <v>294</v>
      </c>
    </row>
    <row r="13" spans="1:9" x14ac:dyDescent="0.35">
      <c r="A13" s="16" t="s">
        <v>295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3"/>
  <sheetViews>
    <sheetView zoomScaleNormal="100" workbookViewId="0"/>
  </sheetViews>
  <sheetFormatPr defaultColWidth="8.6328125" defaultRowHeight="14.5" x14ac:dyDescent="0.35"/>
  <cols>
    <col min="1" max="1" width="26" customWidth="1"/>
    <col min="2" max="5" width="14" customWidth="1"/>
    <col min="6" max="6" width="16" customWidth="1"/>
    <col min="7" max="7" width="14" customWidth="1"/>
    <col min="8" max="8" width="16" customWidth="1"/>
  </cols>
  <sheetData>
    <row r="1" spans="1:8" ht="18" x14ac:dyDescent="0.4">
      <c r="A1" s="2" t="s">
        <v>296</v>
      </c>
    </row>
    <row r="2" spans="1:8" x14ac:dyDescent="0.35">
      <c r="A2" s="3" t="s">
        <v>297</v>
      </c>
    </row>
    <row r="5" spans="1:8" ht="30" customHeight="1" x14ac:dyDescent="0.35">
      <c r="A5" s="10" t="s">
        <v>93</v>
      </c>
      <c r="B5" s="10" t="s">
        <v>298</v>
      </c>
      <c r="C5" s="10" t="s">
        <v>299</v>
      </c>
      <c r="D5" s="10" t="s">
        <v>300</v>
      </c>
      <c r="E5" s="10" t="s">
        <v>301</v>
      </c>
      <c r="F5" s="10" t="s">
        <v>302</v>
      </c>
      <c r="G5" s="10" t="s">
        <v>303</v>
      </c>
      <c r="H5" s="10" t="s">
        <v>304</v>
      </c>
    </row>
    <row r="6" spans="1:8" x14ac:dyDescent="0.35">
      <c r="A6" s="1" t="s">
        <v>25</v>
      </c>
      <c r="B6" s="20">
        <f>SUMIFS(TXN_DEBIT,TXN_PROJECT,A6,TXN_LEDGER,"Site Material Purchase")</f>
        <v>185000</v>
      </c>
      <c r="C6" s="20">
        <f>SUMIFS(TXN_DEBIT,TXN_PROJECT,A6,TXN_LEDGER,"Site Labour Charges")</f>
        <v>0</v>
      </c>
      <c r="D6" s="20">
        <f>SUMIFS(TXN_DEBIT,TXN_PROJECT,A6,TXN_LEDGER,"Site Transport")</f>
        <v>0</v>
      </c>
      <c r="E6" s="20">
        <f>SUMIFS(TXN_DEBIT,TXN_PROJECT,A6,TXN_LEDGER,"Subcontract Charges")</f>
        <v>0</v>
      </c>
      <c r="F6" s="33">
        <f>SUM(B6:E6)</f>
        <v>185000</v>
      </c>
      <c r="G6" s="20">
        <f>SUMIFS(TXN_DEBIT,TXN_PROJECT,A6,TXN_RECOV,"Yes")</f>
        <v>0</v>
      </c>
      <c r="H6" s="33">
        <f>F6-G6</f>
        <v>185000</v>
      </c>
    </row>
    <row r="7" spans="1:8" x14ac:dyDescent="0.35">
      <c r="A7" s="1" t="s">
        <v>27</v>
      </c>
      <c r="B7" s="20">
        <f>SUMIFS(TXN_DEBIT,TXN_PROJECT,A7,TXN_LEDGER,"Site Material Purchase")</f>
        <v>0</v>
      </c>
      <c r="C7" s="20">
        <f>SUMIFS(TXN_DEBIT,TXN_PROJECT,A7,TXN_LEDGER,"Site Labour Charges")</f>
        <v>0</v>
      </c>
      <c r="D7" s="20">
        <f>SUMIFS(TXN_DEBIT,TXN_PROJECT,A7,TXN_LEDGER,"Site Transport")</f>
        <v>0</v>
      </c>
      <c r="E7" s="20">
        <f>SUMIFS(TXN_DEBIT,TXN_PROJECT,A7,TXN_LEDGER,"Subcontract Charges")</f>
        <v>0</v>
      </c>
      <c r="F7" s="33">
        <f>SUM(B7:E7)</f>
        <v>0</v>
      </c>
      <c r="G7" s="20">
        <f>SUMIFS(TXN_DEBIT,TXN_PROJECT,A7,TXN_RECOV,"Yes")</f>
        <v>0</v>
      </c>
      <c r="H7" s="33">
        <f>F7-G7</f>
        <v>0</v>
      </c>
    </row>
    <row r="8" spans="1:8" x14ac:dyDescent="0.35">
      <c r="A8" s="1" t="s">
        <v>29</v>
      </c>
      <c r="B8" s="20">
        <f>SUMIFS(TXN_DEBIT,TXN_PROJECT,A8,TXN_LEDGER,"Site Material Purchase")</f>
        <v>0</v>
      </c>
      <c r="C8" s="20">
        <f>SUMIFS(TXN_DEBIT,TXN_PROJECT,A8,TXN_LEDGER,"Site Labour Charges")</f>
        <v>0</v>
      </c>
      <c r="D8" s="20">
        <f>SUMIFS(TXN_DEBIT,TXN_PROJECT,A8,TXN_LEDGER,"Site Transport")</f>
        <v>0</v>
      </c>
      <c r="E8" s="20">
        <f>SUMIFS(TXN_DEBIT,TXN_PROJECT,A8,TXN_LEDGER,"Subcontract Charges")</f>
        <v>0</v>
      </c>
      <c r="F8" s="33">
        <f>SUM(B8:E8)</f>
        <v>0</v>
      </c>
      <c r="G8" s="20">
        <f>SUMIFS(TXN_DEBIT,TXN_PROJECT,A8,TXN_RECOV,"Yes")</f>
        <v>0</v>
      </c>
      <c r="H8" s="33">
        <f>F8-G8</f>
        <v>0</v>
      </c>
    </row>
    <row r="10" spans="1:8" x14ac:dyDescent="0.35">
      <c r="A10" s="15" t="s">
        <v>60</v>
      </c>
    </row>
    <row r="11" spans="1:8" x14ac:dyDescent="0.35">
      <c r="A11" s="16" t="s">
        <v>305</v>
      </c>
    </row>
    <row r="12" spans="1:8" x14ac:dyDescent="0.35">
      <c r="A12" s="16" t="s">
        <v>306</v>
      </c>
    </row>
    <row r="13" spans="1:8" x14ac:dyDescent="0.35">
      <c r="A13" s="16" t="s">
        <v>307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"/>
  <sheetViews>
    <sheetView zoomScaleNormal="100" workbookViewId="0"/>
  </sheetViews>
  <sheetFormatPr defaultColWidth="8.6328125" defaultRowHeight="14.5" x14ac:dyDescent="0.35"/>
  <cols>
    <col min="1" max="1" width="24" customWidth="1"/>
    <col min="2" max="3" width="20" customWidth="1"/>
    <col min="4" max="4" width="16" customWidth="1"/>
  </cols>
  <sheetData>
    <row r="1" spans="1:4" ht="18" x14ac:dyDescent="0.4">
      <c r="A1" s="2" t="s">
        <v>308</v>
      </c>
    </row>
    <row r="2" spans="1:4" x14ac:dyDescent="0.35">
      <c r="A2" s="3" t="s">
        <v>309</v>
      </c>
    </row>
    <row r="5" spans="1:4" ht="30" customHeight="1" x14ac:dyDescent="0.35">
      <c r="A5" s="10" t="s">
        <v>52</v>
      </c>
      <c r="B5" s="10" t="s">
        <v>310</v>
      </c>
      <c r="C5" s="10" t="s">
        <v>311</v>
      </c>
      <c r="D5" s="10" t="s">
        <v>312</v>
      </c>
    </row>
    <row r="6" spans="1:4" x14ac:dyDescent="0.35">
      <c r="A6" s="17" t="s">
        <v>26</v>
      </c>
      <c r="B6" s="20">
        <f>SUMIFS(TXN_DEBIT,TXN_CUSTOMER,A6,TXN_LEDGER,"Sundry Debtors",TXN_FLAG,"OLD")-SUMIFS(TXN_CREDIT,TXN_CUSTOMER,A6,TXN_LEDGER,"Sundry Debtors",TXN_FLAG,"OLD")</f>
        <v>0</v>
      </c>
      <c r="C6" s="20">
        <f>SUMIFS(TXN_DEBIT,TXN_CUSTOMER,A6,TXN_LEDGER,"Sundry Debtors",TXN_FLAG,"NEW")-SUMIFS(TXN_CREDIT,TXN_CUSTOMER,A6,TXN_LEDGER,"Sundry Debtors",TXN_FLAG,"NEW")</f>
        <v>0</v>
      </c>
      <c r="D6" s="20">
        <f>B6+C6</f>
        <v>0</v>
      </c>
    </row>
    <row r="7" spans="1:4" x14ac:dyDescent="0.35">
      <c r="A7" s="17" t="s">
        <v>28</v>
      </c>
      <c r="B7" s="20">
        <f>SUMIFS(TXN_DEBIT,TXN_CUSTOMER,A7,TXN_LEDGER,"Sundry Debtors",TXN_FLAG,"OLD")-SUMIFS(TXN_CREDIT,TXN_CUSTOMER,A7,TXN_LEDGER,"Sundry Debtors",TXN_FLAG,"OLD")</f>
        <v>0</v>
      </c>
      <c r="C7" s="20">
        <f>SUMIFS(TXN_DEBIT,TXN_CUSTOMER,A7,TXN_LEDGER,"Sundry Debtors",TXN_FLAG,"NEW")-SUMIFS(TXN_CREDIT,TXN_CUSTOMER,A7,TXN_LEDGER,"Sundry Debtors",TXN_FLAG,"NEW")</f>
        <v>0</v>
      </c>
      <c r="D7" s="20">
        <f>B7+C7</f>
        <v>0</v>
      </c>
    </row>
    <row r="8" spans="1:4" x14ac:dyDescent="0.35">
      <c r="A8" s="17" t="s">
        <v>30</v>
      </c>
      <c r="B8" s="20">
        <f>SUMIFS(TXN_DEBIT,TXN_CUSTOMER,A8,TXN_LEDGER,"Sundry Debtors",TXN_FLAG,"OLD")-SUMIFS(TXN_CREDIT,TXN_CUSTOMER,A8,TXN_LEDGER,"Sundry Debtors",TXN_FLAG,"OLD")</f>
        <v>0</v>
      </c>
      <c r="C8" s="20">
        <f>SUMIFS(TXN_DEBIT,TXN_CUSTOMER,A8,TXN_LEDGER,"Sundry Debtors",TXN_FLAG,"NEW")-SUMIFS(TXN_CREDIT,TXN_CUSTOMER,A8,TXN_LEDGER,"Sundry Debtors",TXN_FLAG,"NEW")</f>
        <v>0</v>
      </c>
      <c r="D8" s="20">
        <f>B8+C8</f>
        <v>0</v>
      </c>
    </row>
    <row r="9" spans="1:4" x14ac:dyDescent="0.35">
      <c r="A9" s="7" t="s">
        <v>238</v>
      </c>
      <c r="B9" s="28">
        <f>SUM(B6:B8)</f>
        <v>0</v>
      </c>
      <c r="C9" s="28">
        <f>SUM(C6:C8)</f>
        <v>0</v>
      </c>
      <c r="D9" s="28">
        <f>SUM(D6:D8)</f>
        <v>0</v>
      </c>
    </row>
    <row r="11" spans="1:4" x14ac:dyDescent="0.35">
      <c r="A11" s="15" t="s">
        <v>60</v>
      </c>
    </row>
    <row r="12" spans="1:4" x14ac:dyDescent="0.35">
      <c r="A12" s="16" t="s">
        <v>313</v>
      </c>
    </row>
    <row r="13" spans="1:4" x14ac:dyDescent="0.35">
      <c r="A13" s="16" t="s">
        <v>314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2"/>
  <sheetViews>
    <sheetView zoomScaleNormal="100" workbookViewId="0"/>
  </sheetViews>
  <sheetFormatPr defaultColWidth="8.6328125" defaultRowHeight="14.5" x14ac:dyDescent="0.35"/>
  <cols>
    <col min="1" max="1" width="24" customWidth="1"/>
    <col min="2" max="3" width="20" customWidth="1"/>
    <col min="4" max="4" width="16" customWidth="1"/>
  </cols>
  <sheetData>
    <row r="1" spans="1:4" ht="18" x14ac:dyDescent="0.4">
      <c r="A1" s="2" t="s">
        <v>315</v>
      </c>
    </row>
    <row r="2" spans="1:4" x14ac:dyDescent="0.35">
      <c r="A2" s="3" t="s">
        <v>316</v>
      </c>
    </row>
    <row r="5" spans="1:4" ht="30" customHeight="1" x14ac:dyDescent="0.35">
      <c r="A5" s="10" t="s">
        <v>52</v>
      </c>
      <c r="B5" s="10" t="s">
        <v>310</v>
      </c>
      <c r="C5" s="10" t="s">
        <v>311</v>
      </c>
      <c r="D5" s="10" t="s">
        <v>312</v>
      </c>
    </row>
    <row r="6" spans="1:4" x14ac:dyDescent="0.35">
      <c r="A6" s="17" t="s">
        <v>199</v>
      </c>
      <c r="B6" s="20">
        <f>SUMIFS(TXN_CREDIT,TXN_SUPPLIER,A6,TXN_LEDGER,"Sundry Creditors",TXN_FLAG,"OLD")-SUMIFS(TXN_DEBIT,TXN_SUPPLIER,A6,TXN_LEDGER,"Sundry Creditors",TXN_FLAG,"OLD")</f>
        <v>0</v>
      </c>
      <c r="C6" s="20">
        <f>SUMIFS(TXN_CREDIT,TXN_SUPPLIER,A6,TXN_LEDGER,"Sundry Creditors",TXN_FLAG,"NEW")-SUMIFS(TXN_DEBIT,TXN_SUPPLIER,A6,TXN_LEDGER,"Sundry Creditors",TXN_FLAG,"NEW")</f>
        <v>0</v>
      </c>
      <c r="D6" s="20">
        <f>B6+C6</f>
        <v>0</v>
      </c>
    </row>
    <row r="7" spans="1:4" x14ac:dyDescent="0.35">
      <c r="A7" s="17" t="s">
        <v>317</v>
      </c>
      <c r="B7" s="20">
        <f>SUMIFS(TXN_CREDIT,TXN_SUPPLIER,A7,TXN_LEDGER,"Sundry Creditors",TXN_FLAG,"OLD")-SUMIFS(TXN_DEBIT,TXN_SUPPLIER,A7,TXN_LEDGER,"Sundry Creditors",TXN_FLAG,"OLD")</f>
        <v>0</v>
      </c>
      <c r="C7" s="20">
        <f>SUMIFS(TXN_CREDIT,TXN_SUPPLIER,A7,TXN_LEDGER,"Sundry Creditors",TXN_FLAG,"NEW")-SUMIFS(TXN_DEBIT,TXN_SUPPLIER,A7,TXN_LEDGER,"Sundry Creditors",TXN_FLAG,"NEW")</f>
        <v>0</v>
      </c>
      <c r="D7" s="20">
        <f>B7+C7</f>
        <v>0</v>
      </c>
    </row>
    <row r="8" spans="1:4" x14ac:dyDescent="0.35">
      <c r="A8" s="7" t="s">
        <v>238</v>
      </c>
      <c r="B8" s="28">
        <f>SUM(B6:B7)</f>
        <v>0</v>
      </c>
      <c r="C8" s="28">
        <f>SUM(C6:C7)</f>
        <v>0</v>
      </c>
      <c r="D8" s="28">
        <f>SUM(D6:D7)</f>
        <v>0</v>
      </c>
    </row>
    <row r="10" spans="1:4" x14ac:dyDescent="0.35">
      <c r="A10" s="15" t="s">
        <v>60</v>
      </c>
    </row>
    <row r="11" spans="1:4" x14ac:dyDescent="0.35">
      <c r="A11" s="16" t="s">
        <v>318</v>
      </c>
    </row>
    <row r="12" spans="1:4" x14ac:dyDescent="0.35">
      <c r="A12" s="16" t="s">
        <v>314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12"/>
  <sheetViews>
    <sheetView zoomScaleNormal="100" workbookViewId="0"/>
  </sheetViews>
  <sheetFormatPr defaultColWidth="8.6328125" defaultRowHeight="14.5" x14ac:dyDescent="0.35"/>
  <cols>
    <col min="1" max="1" width="34" customWidth="1"/>
    <col min="2" max="3" width="20" customWidth="1"/>
  </cols>
  <sheetData>
    <row r="1" spans="1:3" ht="18" x14ac:dyDescent="0.4">
      <c r="A1" s="2" t="s">
        <v>319</v>
      </c>
    </row>
    <row r="2" spans="1:3" x14ac:dyDescent="0.35">
      <c r="A2" s="3" t="s">
        <v>320</v>
      </c>
    </row>
    <row r="5" spans="1:3" ht="30" customHeight="1" x14ac:dyDescent="0.35">
      <c r="A5" s="10"/>
      <c r="B5" s="10" t="s">
        <v>116</v>
      </c>
      <c r="C5" s="10" t="s">
        <v>133</v>
      </c>
    </row>
    <row r="6" spans="1:3" x14ac:dyDescent="0.35">
      <c r="A6" t="s">
        <v>321</v>
      </c>
      <c r="B6" s="22">
        <f>SUMIFS(TXN_GST,TXN_LEDGER,"Sales - Interior Projects",TXN_FLAG,"OLD")</f>
        <v>171000</v>
      </c>
      <c r="C6" s="22">
        <f>SUMIFS(TXN_GST,TXN_LEDGER,"Sales - Interior Projects",TXN_FLAG,"NEW")</f>
        <v>0</v>
      </c>
    </row>
    <row r="7" spans="1:3" x14ac:dyDescent="0.35">
      <c r="A7" t="s">
        <v>322</v>
      </c>
      <c r="B7" s="22">
        <f>SUMIFS(TXN_GST,TXN_LEDGER,"Site Material Purchase",TXN_FLAG,"OLD")</f>
        <v>9250</v>
      </c>
      <c r="C7" s="22">
        <f>SUMIFS(TXN_GST,TXN_LEDGER,"Site Material Purchase",TXN_FLAG,"NEW")</f>
        <v>0</v>
      </c>
    </row>
    <row r="8" spans="1:3" x14ac:dyDescent="0.35">
      <c r="A8" s="7" t="s">
        <v>323</v>
      </c>
      <c r="B8" s="25">
        <f>B6-B7</f>
        <v>161750</v>
      </c>
      <c r="C8" s="25">
        <f>C6-C7</f>
        <v>0</v>
      </c>
    </row>
    <row r="10" spans="1:3" x14ac:dyDescent="0.35">
      <c r="A10" s="15" t="s">
        <v>60</v>
      </c>
    </row>
    <row r="11" spans="1:3" x14ac:dyDescent="0.35">
      <c r="A11" s="16" t="s">
        <v>324</v>
      </c>
    </row>
    <row r="12" spans="1:3" x14ac:dyDescent="0.35">
      <c r="A12" s="16" t="s">
        <v>325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11"/>
  <sheetViews>
    <sheetView zoomScaleNormal="100" workbookViewId="0"/>
  </sheetViews>
  <sheetFormatPr defaultColWidth="8.6328125" defaultRowHeight="14.5" x14ac:dyDescent="0.35"/>
  <cols>
    <col min="1" max="1" width="14" customWidth="1"/>
    <col min="2" max="2" width="12" customWidth="1"/>
    <col min="3" max="3" width="22" customWidth="1"/>
    <col min="4" max="4" width="30" customWidth="1"/>
    <col min="5" max="5" width="22" customWidth="1"/>
    <col min="6" max="8" width="14" customWidth="1"/>
    <col min="9" max="9" width="16" customWidth="1"/>
    <col min="10" max="10" width="14" customWidth="1"/>
  </cols>
  <sheetData>
    <row r="1" spans="1:10" ht="18" x14ac:dyDescent="0.4">
      <c r="A1" s="2" t="s">
        <v>326</v>
      </c>
    </row>
    <row r="2" spans="1:10" x14ac:dyDescent="0.35">
      <c r="A2" s="3" t="s">
        <v>327</v>
      </c>
    </row>
    <row r="5" spans="1:10" ht="30" customHeight="1" x14ac:dyDescent="0.35">
      <c r="A5" s="10" t="s">
        <v>328</v>
      </c>
      <c r="B5" s="10" t="s">
        <v>48</v>
      </c>
      <c r="C5" s="10" t="s">
        <v>51</v>
      </c>
      <c r="D5" s="10" t="s">
        <v>329</v>
      </c>
      <c r="E5" s="10" t="s">
        <v>330</v>
      </c>
      <c r="F5" s="10" t="s">
        <v>331</v>
      </c>
      <c r="G5" s="10" t="s">
        <v>332</v>
      </c>
      <c r="H5" s="10" t="s">
        <v>56</v>
      </c>
      <c r="I5" s="10" t="s">
        <v>333</v>
      </c>
      <c r="J5" s="10" t="s">
        <v>24</v>
      </c>
    </row>
    <row r="6" spans="1:10" x14ac:dyDescent="0.35">
      <c r="A6" s="17" t="s">
        <v>197</v>
      </c>
      <c r="B6" s="18" t="s">
        <v>196</v>
      </c>
      <c r="C6" s="17" t="s">
        <v>119</v>
      </c>
      <c r="D6" s="17" t="s">
        <v>334</v>
      </c>
      <c r="E6" s="17" t="s">
        <v>335</v>
      </c>
      <c r="F6" s="17" t="s">
        <v>175</v>
      </c>
      <c r="G6" s="17" t="s">
        <v>119</v>
      </c>
      <c r="H6" s="19">
        <v>185000</v>
      </c>
      <c r="I6" s="17"/>
      <c r="J6" s="17" t="s">
        <v>336</v>
      </c>
    </row>
    <row r="108" spans="1:1" x14ac:dyDescent="0.35">
      <c r="A108" s="15" t="s">
        <v>60</v>
      </c>
    </row>
    <row r="109" spans="1:1" x14ac:dyDescent="0.35">
      <c r="A109" s="16" t="s">
        <v>337</v>
      </c>
    </row>
    <row r="110" spans="1:1" x14ac:dyDescent="0.35">
      <c r="A110" s="16" t="s">
        <v>338</v>
      </c>
    </row>
    <row r="111" spans="1:1" x14ac:dyDescent="0.35">
      <c r="A111" s="16" t="s">
        <v>339</v>
      </c>
    </row>
  </sheetData>
  <dataValidations count="1">
    <dataValidation type="list" allowBlank="1" sqref="J6:J105" xr:uid="{00000000-0002-0000-1900-000000000000}">
      <formula1>"Pending Review,Approved,Posted,Rejected"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31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2" width="18" customWidth="1"/>
    <col min="3" max="3" width="40" customWidth="1"/>
  </cols>
  <sheetData>
    <row r="1" spans="1:3" ht="18" x14ac:dyDescent="0.4">
      <c r="A1" s="2" t="s">
        <v>340</v>
      </c>
    </row>
    <row r="2" spans="1:3" x14ac:dyDescent="0.35">
      <c r="A2" s="3" t="s">
        <v>341</v>
      </c>
    </row>
    <row r="5" spans="1:3" ht="30" customHeight="1" x14ac:dyDescent="0.35">
      <c r="A5" s="10" t="s">
        <v>342</v>
      </c>
      <c r="B5" s="10" t="s">
        <v>343</v>
      </c>
      <c r="C5" s="10" t="s">
        <v>112</v>
      </c>
    </row>
    <row r="6" spans="1:3" x14ac:dyDescent="0.35">
      <c r="A6" t="s">
        <v>344</v>
      </c>
      <c r="B6" s="34">
        <f>'13 Old Company TB'!D38</f>
        <v>-765000</v>
      </c>
      <c r="C6" s="24" t="s">
        <v>345</v>
      </c>
    </row>
    <row r="7" spans="1:3" x14ac:dyDescent="0.35">
      <c r="A7" t="s">
        <v>346</v>
      </c>
      <c r="B7" s="34">
        <f>'14 New Company TB'!D38</f>
        <v>45000</v>
      </c>
      <c r="C7" s="24" t="s">
        <v>345</v>
      </c>
    </row>
    <row r="8" spans="1:3" x14ac:dyDescent="0.35">
      <c r="A8" t="s">
        <v>347</v>
      </c>
      <c r="B8" s="34">
        <f>'17 Old Company Balance Sheet'!B1000</f>
        <v>0</v>
      </c>
      <c r="C8" s="24" t="s">
        <v>348</v>
      </c>
    </row>
    <row r="9" spans="1:3" x14ac:dyDescent="0.35">
      <c r="A9" t="s">
        <v>349</v>
      </c>
      <c r="B9" s="34">
        <f>'18 New Company Balance Sheet'!B1000</f>
        <v>0</v>
      </c>
      <c r="C9" s="24" t="s">
        <v>348</v>
      </c>
    </row>
    <row r="10" spans="1:3" x14ac:dyDescent="0.35">
      <c r="A10" t="s">
        <v>350</v>
      </c>
      <c r="B10" s="34">
        <f>'19 Bank Reconstruction'!B12</f>
        <v>-765000</v>
      </c>
      <c r="C10" s="24" t="s">
        <v>351</v>
      </c>
    </row>
    <row r="11" spans="1:3" x14ac:dyDescent="0.35">
      <c r="A11" t="s">
        <v>352</v>
      </c>
      <c r="B11" s="34">
        <f>'19 Bank Reconstruction'!C12</f>
        <v>45000</v>
      </c>
      <c r="C11" s="24" t="s">
        <v>351</v>
      </c>
    </row>
    <row r="12" spans="1:3" x14ac:dyDescent="0.35">
      <c r="A12" t="s">
        <v>353</v>
      </c>
      <c r="B12" s="34">
        <f>'20 Cash Reconstruction'!B12</f>
        <v>0</v>
      </c>
      <c r="C12" s="24" t="s">
        <v>354</v>
      </c>
    </row>
    <row r="13" spans="1:3" x14ac:dyDescent="0.35">
      <c r="A13" t="s">
        <v>355</v>
      </c>
      <c r="B13" s="34">
        <f>'20 Cash Reconstruction'!C12</f>
        <v>0</v>
      </c>
      <c r="C13" s="24" t="s">
        <v>354</v>
      </c>
    </row>
    <row r="14" spans="1:3" x14ac:dyDescent="0.35">
      <c r="A14" t="s">
        <v>356</v>
      </c>
      <c r="B14" s="34">
        <f>'23 Receivable Split'!D9</f>
        <v>0</v>
      </c>
      <c r="C14" s="24" t="s">
        <v>357</v>
      </c>
    </row>
    <row r="15" spans="1:3" x14ac:dyDescent="0.35">
      <c r="A15" t="s">
        <v>358</v>
      </c>
      <c r="B15" s="34">
        <f>'24 Payable Split'!D8</f>
        <v>0</v>
      </c>
      <c r="C15" s="24" t="s">
        <v>359</v>
      </c>
    </row>
    <row r="16" spans="1:3" x14ac:dyDescent="0.35">
      <c r="A16" t="s">
        <v>360</v>
      </c>
      <c r="B16" s="34">
        <f>'25 GST Reconciliation'!B8</f>
        <v>161750</v>
      </c>
      <c r="C16" s="24" t="s">
        <v>361</v>
      </c>
    </row>
    <row r="17" spans="1:3" x14ac:dyDescent="0.35">
      <c r="A17" t="s">
        <v>362</v>
      </c>
      <c r="B17" s="34">
        <f>'25 GST Reconciliation'!C8</f>
        <v>0</v>
      </c>
      <c r="C17" s="24" t="s">
        <v>361</v>
      </c>
    </row>
    <row r="18" spans="1:3" x14ac:dyDescent="0.35">
      <c r="A18" t="s">
        <v>363</v>
      </c>
      <c r="B18" s="34">
        <f>'12 Intercompany Ledger'!B8</f>
        <v>0</v>
      </c>
      <c r="C18" s="24" t="s">
        <v>364</v>
      </c>
    </row>
    <row r="19" spans="1:3" x14ac:dyDescent="0.35">
      <c r="A19" t="s">
        <v>365</v>
      </c>
      <c r="B19" s="34">
        <f>SUMPRODUCT((TXN_LEDGER&lt;&gt;"")*(TXN_FLAG=""))</f>
        <v>0</v>
      </c>
      <c r="C19" s="24" t="s">
        <v>366</v>
      </c>
    </row>
    <row r="20" spans="1:3" x14ac:dyDescent="0.35">
      <c r="A20" t="s">
        <v>367</v>
      </c>
      <c r="B20" s="34">
        <f>SUMPRODUCT((TXN_VNO&lt;&gt;"")*(TXN_BAL="No"))</f>
        <v>3</v>
      </c>
      <c r="C20" s="24" t="s">
        <v>368</v>
      </c>
    </row>
    <row r="21" spans="1:3" x14ac:dyDescent="0.35">
      <c r="A21" t="s">
        <v>369</v>
      </c>
      <c r="B21" s="34">
        <f>SUMPRODUCT((TXN_VNO&lt;&gt;"")*(COUNTIFS(TXN_DATE,TXN_DATE,TXN_VNO,TXN_VNO,TXN_LEDGER,TXN_LEDGER,TXN_DEBIT,TXN_DEBIT,TXN_CREDIT,TXN_CREDIT)&gt;1))</f>
        <v>0</v>
      </c>
      <c r="C21" s="24" t="s">
        <v>370</v>
      </c>
    </row>
    <row r="22" spans="1:3" x14ac:dyDescent="0.35">
      <c r="A22" t="s">
        <v>371</v>
      </c>
      <c r="B22" s="34">
        <f>COUNTIF('05 Import Stock'!D5:D5000,"&lt;0")+COUNTIF('05 Import Stock'!J5:J5000,"&lt;0")</f>
        <v>0</v>
      </c>
      <c r="C22" s="24" t="s">
        <v>372</v>
      </c>
    </row>
    <row r="23" spans="1:3" x14ac:dyDescent="0.35">
      <c r="A23" t="s">
        <v>373</v>
      </c>
      <c r="B23" s="34">
        <f>COUNTIF(TXN_ADJ,"Yes")</f>
        <v>0</v>
      </c>
      <c r="C23" s="24" t="s">
        <v>374</v>
      </c>
    </row>
    <row r="24" spans="1:3" x14ac:dyDescent="0.35">
      <c r="A24" t="s">
        <v>375</v>
      </c>
      <c r="B24" s="34">
        <f>SUMPRODUCT((TXN_FLAG&lt;&gt;"")*(TXN_FLAG&lt;&gt;TXN_SUGFLAG))</f>
        <v>1</v>
      </c>
      <c r="C24" s="24" t="s">
        <v>376</v>
      </c>
    </row>
    <row r="25" spans="1:3" x14ac:dyDescent="0.35">
      <c r="A25" t="s">
        <v>377</v>
      </c>
      <c r="B25" s="34">
        <f>SUMPRODUCT((TXN_LEDGER&lt;&gt;"")*(COUNTIF(COA_LEDGER,TXN_LEDGER)=0))</f>
        <v>0</v>
      </c>
      <c r="C25" s="24" t="s">
        <v>378</v>
      </c>
    </row>
    <row r="28" spans="1:3" x14ac:dyDescent="0.35">
      <c r="A28" s="15" t="s">
        <v>60</v>
      </c>
    </row>
    <row r="29" spans="1:3" x14ac:dyDescent="0.35">
      <c r="A29" s="16" t="s">
        <v>379</v>
      </c>
    </row>
    <row r="30" spans="1:3" x14ac:dyDescent="0.35">
      <c r="A30" s="16" t="s">
        <v>380</v>
      </c>
    </row>
    <row r="31" spans="1:3" x14ac:dyDescent="0.35">
      <c r="A31" s="16" t="s">
        <v>381</v>
      </c>
    </row>
  </sheetData>
  <conditionalFormatting sqref="B6:B25">
    <cfRule type="expression" dxfId="1" priority="2">
      <formula>B6=0</formula>
    </cfRule>
    <cfRule type="expression" dxfId="0" priority="3">
      <formula>ABS(B6)&gt;0.01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27</vt:i4>
      </vt:variant>
    </vt:vector>
  </HeadingPairs>
  <TitlesOfParts>
    <vt:vector size="54" baseType="lpstr">
      <vt:lpstr>01 Settings</vt:lpstr>
      <vt:lpstr>02 Import DayBook</vt:lpstr>
      <vt:lpstr>03 Import Ledger</vt:lpstr>
      <vt:lpstr>04 Import TrialBalance</vt:lpstr>
      <vt:lpstr>05 Import Stock</vt:lpstr>
      <vt:lpstr>06 Import Receivables</vt:lpstr>
      <vt:lpstr>07 Import Payables</vt:lpstr>
      <vt:lpstr>08 Import BankBook</vt:lpstr>
      <vt:lpstr>09 Import CashBook</vt:lpstr>
      <vt:lpstr>10 Chart of Accounts</vt:lpstr>
      <vt:lpstr>11 Transaction Master</vt:lpstr>
      <vt:lpstr>12 Intercompany Ledger</vt:lpstr>
      <vt:lpstr>13 Old Company TB</vt:lpstr>
      <vt:lpstr>14 New Company TB</vt:lpstr>
      <vt:lpstr>15 Old Company P&amp;L</vt:lpstr>
      <vt:lpstr>16 New Company P&amp;L</vt:lpstr>
      <vt:lpstr>17 Old Company Balance Sheet</vt:lpstr>
      <vt:lpstr>18 New Company Balance Sheet</vt:lpstr>
      <vt:lpstr>19 Bank Reconstruction</vt:lpstr>
      <vt:lpstr>20 Cash Reconstruction</vt:lpstr>
      <vt:lpstr>21 Stock Transfer</vt:lpstr>
      <vt:lpstr>22 Project Cost Recovery</vt:lpstr>
      <vt:lpstr>23 Receivable Split</vt:lpstr>
      <vt:lpstr>24 Payable Split</vt:lpstr>
      <vt:lpstr>25 GST Reconciliation</vt:lpstr>
      <vt:lpstr>26 Adjustment Journals</vt:lpstr>
      <vt:lpstr>27 Reconciliation Dashboard</vt:lpstr>
      <vt:lpstr>COA_CLASS</vt:lpstr>
      <vt:lpstr>COA_COMPANY</vt:lpstr>
      <vt:lpstr>COA_LEDGER</vt:lpstr>
      <vt:lpstr>COA_OVERHEAD</vt:lpstr>
      <vt:lpstr>OLD_PROJECTS</vt:lpstr>
      <vt:lpstr>SEG_DATE</vt:lpstr>
      <vt:lpstr>TXN_ADJ</vt:lpstr>
      <vt:lpstr>TXN_AMOUNT</vt:lpstr>
      <vt:lpstr>TXN_BAL</vt:lpstr>
      <vt:lpstr>TXN_BANK</vt:lpstr>
      <vt:lpstr>TXN_CASH</vt:lpstr>
      <vt:lpstr>TXN_CREDIT</vt:lpstr>
      <vt:lpstr>TXN_CUSTOMER</vt:lpstr>
      <vt:lpstr>TXN_DATE</vt:lpstr>
      <vt:lpstr>TXN_DEBIT</vt:lpstr>
      <vt:lpstr>TXN_FLAG</vt:lpstr>
      <vt:lpstr>TXN_GST</vt:lpstr>
      <vt:lpstr>TXN_LEDGER</vt:lpstr>
      <vt:lpstr>TXN_NEWPROJ</vt:lpstr>
      <vt:lpstr>TXN_OLDPROJ</vt:lpstr>
      <vt:lpstr>TXN_PARTY</vt:lpstr>
      <vt:lpstr>TXN_PAYMODE</vt:lpstr>
      <vt:lpstr>TXN_PROJECT</vt:lpstr>
      <vt:lpstr>TXN_RECOV</vt:lpstr>
      <vt:lpstr>TXN_SUGFLAG</vt:lpstr>
      <vt:lpstr>TXN_SUPPLIER</vt:lpstr>
      <vt:lpstr>TXN_VNO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Muhammed Yaseen</cp:lastModifiedBy>
  <cp:revision>0</cp:revision>
  <dcterms:created xsi:type="dcterms:W3CDTF">2026-07-16T09:46:49Z</dcterms:created>
  <dcterms:modified xsi:type="dcterms:W3CDTF">2026-07-17T11:41:22Z</dcterms:modified>
  <dc:language>en-US</dc:language>
</cp:coreProperties>
</file>